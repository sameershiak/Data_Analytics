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E7B6E6A9-32A8-4285-8445-A900771122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S3" i="1"/>
  <c r="S4" i="1"/>
  <c r="S5" i="1"/>
  <c r="S6" i="1"/>
  <c r="S2" i="1"/>
  <c r="N2" i="1"/>
  <c r="R6" i="1"/>
  <c r="R5" i="1"/>
  <c r="R4" i="1"/>
  <c r="R3" i="1"/>
  <c r="R2" i="1"/>
  <c r="Q5" i="1"/>
  <c r="Q3" i="1"/>
  <c r="P4" i="1"/>
  <c r="P3" i="1"/>
  <c r="P2" i="1"/>
  <c r="Q4" i="1"/>
  <c r="Q6" i="1"/>
  <c r="Q2" i="1"/>
  <c r="P6" i="1"/>
  <c r="P5" i="1"/>
  <c r="O3" i="1"/>
  <c r="O2" i="1"/>
  <c r="O6" i="1"/>
  <c r="O5" i="1"/>
  <c r="O4" i="1"/>
  <c r="N5" i="1"/>
  <c r="N3" i="1"/>
  <c r="N4" i="1"/>
  <c r="N6" i="1"/>
  <c r="I2" i="1"/>
  <c r="I3" i="1"/>
  <c r="I4" i="1"/>
  <c r="I5" i="1"/>
  <c r="I6" i="1"/>
  <c r="I7" i="1"/>
  <c r="I8" i="1"/>
  <c r="I9" i="1"/>
  <c r="I10" i="1"/>
  <c r="I11" i="1"/>
  <c r="I12" i="1"/>
  <c r="F3" i="1"/>
  <c r="F4" i="1"/>
  <c r="F5" i="1"/>
  <c r="F6" i="1"/>
  <c r="F7" i="1"/>
  <c r="F8" i="1"/>
  <c r="F9" i="1"/>
  <c r="F10" i="1"/>
  <c r="F11" i="1"/>
  <c r="F12" i="1"/>
  <c r="F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<sst xmlns="http://schemas.openxmlformats.org/spreadsheetml/2006/main" count="35" uniqueCount="27">
  <si>
    <t>NAME</t>
  </si>
  <si>
    <t>MARKS</t>
  </si>
  <si>
    <t>RESULT</t>
  </si>
  <si>
    <t>SAMEER</t>
  </si>
  <si>
    <t>VEDA</t>
  </si>
  <si>
    <t>SURYA</t>
  </si>
  <si>
    <t>DAVID</t>
  </si>
  <si>
    <t>MUSHTAQ</t>
  </si>
  <si>
    <t>AGE</t>
  </si>
  <si>
    <t>TYPE</t>
  </si>
  <si>
    <t>CATEGORIES</t>
  </si>
  <si>
    <t>OR</t>
  </si>
  <si>
    <t>AND</t>
  </si>
  <si>
    <t>RESULT FOR OR</t>
  </si>
  <si>
    <t>SULT FOR AND</t>
  </si>
  <si>
    <t>NOT</t>
  </si>
  <si>
    <t>XOR</t>
  </si>
  <si>
    <t>IF CODITION</t>
  </si>
  <si>
    <t>IF-ELSE CONDITION</t>
  </si>
  <si>
    <t>IF-ELSE-ELSEIF CONDITION</t>
  </si>
  <si>
    <t>LOGICAL OPERATIONS</t>
  </si>
  <si>
    <t>TYPES OF ERRORS</t>
  </si>
  <si>
    <t>ERROR 1</t>
  </si>
  <si>
    <t>ERROR 2</t>
  </si>
  <si>
    <t>ERROR 3</t>
  </si>
  <si>
    <t>ERROR 4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</si>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</sst>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5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6" borderId="1" xfId="0" applyFont="1" applyFill="1" applyBorder="1"/>
    <xf numFmtId="0" fontId="0" fillId="6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zoomScale="130" zoomScaleNormal="130" workbookViewId="0">
      <selection activeCell="M23" sqref="M2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E1" s="5" t="s">
        <v>8</v>
      </c>
      <c r="F1" s="5" t="s">
        <v>9</v>
      </c>
      <c r="H1" s="3" t="s">
        <v>8</v>
      </c>
      <c r="I1" s="3" t="s">
        <v>10</v>
      </c>
      <c r="J1" s="4"/>
      <c r="L1" s="7" t="s">
        <v>0</v>
      </c>
      <c r="M1" s="7" t="s">
        <v>1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x14ac:dyDescent="0.25">
      <c r="A2" s="2" t="s">
        <v>3</v>
      </c>
      <c r="B2" s="2">
        <v>25</v>
      </c>
      <c r="C2" s="2" t="str">
        <f>IF(B2&lt;35, "FAIL", "PASS")</f>
        <v>FAIL</v>
      </c>
      <c r="E2" s="6">
        <v>67</v>
      </c>
      <c r="F2" s="6" t="str">
        <f>IF(E2&gt;=80, "ABOVE 80", "BELOW 80")</f>
        <v>BELOW 80</v>
      </c>
      <c r="H2" s="4">
        <v>67</v>
      </c>
      <c r="I2" s="4" t="str">
        <f>IF(H2&gt;=80, "SENIOR CITIZENS", IF(H2&gt;=21,"CITIZENS", IF(H2&gt;=13,"TEENAGERS", IF(H2&gt;=1, "CHILDRENS"))))</f>
        <v>CITIZENS</v>
      </c>
      <c r="J2" s="4"/>
      <c r="L2" s="8" t="s">
        <v>3</v>
      </c>
      <c r="M2" s="8">
        <v>25</v>
      </c>
      <c r="N2" s="8" t="b">
        <f>OR(M3&lt;35, M4&gt;30)</f>
        <v>1</v>
      </c>
      <c r="O2" s="8" t="b">
        <f>AND(M2&gt;30, M2&lt;20)</f>
        <v>0</v>
      </c>
      <c r="P2" s="8" t="str">
        <f>IF(OR(M2&gt;90,M2&lt;60),"PASS","FAIL")</f>
        <v>PASS</v>
      </c>
      <c r="Q2" s="8" t="str">
        <f>IF(AND(M2&gt;90, M2&lt;60), "PASS", "FAIL")</f>
        <v>FAIL</v>
      </c>
      <c r="R2" s="8" t="b">
        <f>NOT(M2&gt;20)</f>
        <v>0</v>
      </c>
      <c r="S2" s="8" t="b">
        <f>_xlfn.XOR(M3&lt;35, M4&gt;30)</f>
        <v>1</v>
      </c>
    </row>
    <row r="3" spans="1:19" x14ac:dyDescent="0.25">
      <c r="A3" s="2" t="s">
        <v>4</v>
      </c>
      <c r="B3" s="2">
        <v>35</v>
      </c>
      <c r="C3" s="2" t="str">
        <f t="shared" ref="C3:C6" si="0">IF(B3&lt;35, "FAIL", "PASS")</f>
        <v>PASS</v>
      </c>
      <c r="E3" s="6">
        <v>34</v>
      </c>
      <c r="F3" s="6" t="str">
        <f t="shared" ref="F3:F12" si="1">IF(E3&gt;=80, "ABOVE 80", "BELOW 80")</f>
        <v>BELOW 80</v>
      </c>
      <c r="H3" s="4">
        <v>34</v>
      </c>
      <c r="I3" s="4" t="str">
        <f t="shared" ref="I3:I12" si="2">IF(H3&gt;=80, "SENIOR CITIZENS", IF(H3&gt;=21,"CITIZENS", IF(H3&gt;=13,"TEENAGERS", IF(H3&gt;=1, "CHILDRENS"))))</f>
        <v>CITIZENS</v>
      </c>
      <c r="J3" s="4"/>
      <c r="L3" s="8" t="s">
        <v>4</v>
      </c>
      <c r="M3" s="8">
        <v>35</v>
      </c>
      <c r="N3" s="8" t="b">
        <f t="shared" ref="N3:N6" si="3">OR(M4&lt;35, M5&gt;30)</f>
        <v>1</v>
      </c>
      <c r="O3" s="8" t="b">
        <f>AND(M3&gt;30, M3&lt;40)</f>
        <v>1</v>
      </c>
      <c r="P3" s="8" t="str">
        <f>IF(OR(M3&gt;30,M3&lt;60),"PASS","FAIL")</f>
        <v>PASS</v>
      </c>
      <c r="Q3" s="8" t="str">
        <f>IF(AND(M3&gt;30, M3&lt;60), "PASS", "FAIL")</f>
        <v>PASS</v>
      </c>
      <c r="R3" s="8" t="b">
        <f>NOT(M3&gt;35)</f>
        <v>1</v>
      </c>
      <c r="S3" s="8" t="b">
        <f t="shared" ref="S3:S6" si="4">_xlfn.XOR(M4&lt;35, M5&gt;30)</f>
        <v>0</v>
      </c>
    </row>
    <row r="4" spans="1:19" x14ac:dyDescent="0.25">
      <c r="A4" s="2" t="s">
        <v>5</v>
      </c>
      <c r="B4" s="2">
        <v>34</v>
      </c>
      <c r="C4" s="2" t="str">
        <f t="shared" si="0"/>
        <v>FAIL</v>
      </c>
      <c r="E4" s="6">
        <v>85</v>
      </c>
      <c r="F4" s="6" t="str">
        <f t="shared" si="1"/>
        <v>ABOVE 80</v>
      </c>
      <c r="H4" s="4">
        <v>85</v>
      </c>
      <c r="I4" s="4" t="str">
        <f t="shared" si="2"/>
        <v>SENIOR CITIZENS</v>
      </c>
      <c r="J4" s="4"/>
      <c r="L4" s="8" t="s">
        <v>5</v>
      </c>
      <c r="M4" s="8">
        <v>34</v>
      </c>
      <c r="N4" s="8" t="b">
        <f t="shared" si="3"/>
        <v>1</v>
      </c>
      <c r="O4" s="8" t="b">
        <f>AND(M4&gt;90, M4&lt;35)</f>
        <v>0</v>
      </c>
      <c r="P4" s="8" t="str">
        <f>IF(OR(M4&gt;90,M4&lt;30),"PASS","FAIL")</f>
        <v>FAIL</v>
      </c>
      <c r="Q4" s="8" t="str">
        <f t="shared" ref="Q3:Q6" si="5">IF(AND(M4&gt;90, M4&lt;60), "PASS", "FAIL")</f>
        <v>FAIL</v>
      </c>
      <c r="R4" s="8" t="b">
        <f>NOT(M4&lt;39)</f>
        <v>0</v>
      </c>
      <c r="S4" s="8" t="b">
        <f t="shared" si="4"/>
        <v>1</v>
      </c>
    </row>
    <row r="5" spans="1:19" x14ac:dyDescent="0.25">
      <c r="A5" s="2" t="s">
        <v>6</v>
      </c>
      <c r="B5" s="2">
        <v>95</v>
      </c>
      <c r="C5" s="2" t="str">
        <f t="shared" si="0"/>
        <v>PASS</v>
      </c>
      <c r="E5" s="6">
        <v>8</v>
      </c>
      <c r="F5" s="6" t="str">
        <f t="shared" si="1"/>
        <v>BELOW 80</v>
      </c>
      <c r="H5" s="4">
        <v>8</v>
      </c>
      <c r="I5" s="4" t="str">
        <f t="shared" si="2"/>
        <v>CHILDRENS</v>
      </c>
      <c r="J5" s="4"/>
      <c r="L5" s="8" t="s">
        <v>6</v>
      </c>
      <c r="M5" s="8">
        <v>95</v>
      </c>
      <c r="N5" s="8" t="b">
        <f>OR(M6&lt;35, M7&gt;30)</f>
        <v>0</v>
      </c>
      <c r="O5" s="8" t="b">
        <f>AND(M5&gt;90, M5&lt;100)</f>
        <v>1</v>
      </c>
      <c r="P5" s="8" t="str">
        <f t="shared" ref="P3:P6" si="6">IF(OR(M5&gt;90,M5&lt;60),"PASS","FAIL")</f>
        <v>PASS</v>
      </c>
      <c r="Q5" s="8" t="str">
        <f>IF(AND(M5&gt;90, M5&lt;100), "PASS", "FAIL")</f>
        <v>PASS</v>
      </c>
      <c r="R5" s="8" t="b">
        <f>NOT(M5&gt;95)</f>
        <v>1</v>
      </c>
      <c r="S5" s="8" t="b">
        <f t="shared" si="4"/>
        <v>0</v>
      </c>
    </row>
    <row r="6" spans="1:19" x14ac:dyDescent="0.25">
      <c r="A6" s="2" t="s">
        <v>7</v>
      </c>
      <c r="B6" s="2">
        <v>82</v>
      </c>
      <c r="C6" s="2" t="str">
        <f t="shared" si="0"/>
        <v>PASS</v>
      </c>
      <c r="E6" s="6">
        <v>91</v>
      </c>
      <c r="F6" s="6" t="str">
        <f t="shared" si="1"/>
        <v>ABOVE 80</v>
      </c>
      <c r="H6" s="4">
        <v>91</v>
      </c>
      <c r="I6" s="4" t="str">
        <f t="shared" si="2"/>
        <v>SENIOR CITIZENS</v>
      </c>
      <c r="J6" s="4"/>
      <c r="L6" s="8" t="s">
        <v>7</v>
      </c>
      <c r="M6" s="8">
        <v>82</v>
      </c>
      <c r="N6" s="8" t="b">
        <f t="shared" si="3"/>
        <v>1</v>
      </c>
      <c r="O6" s="8" t="b">
        <f>AND(M6&gt;30, M6&lt;20)</f>
        <v>0</v>
      </c>
      <c r="P6" s="8" t="str">
        <f>IF(OR(M6&gt;90,M6&lt;60),"PASS","FAIL")</f>
        <v>FAIL</v>
      </c>
      <c r="Q6" s="8" t="str">
        <f t="shared" si="5"/>
        <v>FAIL</v>
      </c>
      <c r="R6" s="8" t="b">
        <f>NOT(M6&gt;100)</f>
        <v>1</v>
      </c>
      <c r="S6" s="8" t="b">
        <f t="shared" si="4"/>
        <v>1</v>
      </c>
    </row>
    <row r="7" spans="1:19" x14ac:dyDescent="0.25">
      <c r="E7" s="6">
        <v>73</v>
      </c>
      <c r="F7" s="6" t="str">
        <f t="shared" si="1"/>
        <v>BELOW 80</v>
      </c>
      <c r="H7" s="4">
        <v>73</v>
      </c>
      <c r="I7" s="4" t="str">
        <f t="shared" si="2"/>
        <v>CITIZENS</v>
      </c>
      <c r="J7" s="4"/>
    </row>
    <row r="8" spans="1:19" ht="28.5" x14ac:dyDescent="0.45">
      <c r="A8" s="9" t="s">
        <v>17</v>
      </c>
      <c r="E8" s="6">
        <v>53</v>
      </c>
      <c r="F8" s="6" t="str">
        <f t="shared" si="1"/>
        <v>BELOW 80</v>
      </c>
      <c r="H8" s="4">
        <v>17</v>
      </c>
      <c r="I8" s="4" t="str">
        <f t="shared" si="2"/>
        <v>TEENAGERS</v>
      </c>
      <c r="J8" s="4"/>
      <c r="L8" s="12" t="s">
        <v>20</v>
      </c>
    </row>
    <row r="9" spans="1:19" x14ac:dyDescent="0.25">
      <c r="E9" s="6">
        <v>83</v>
      </c>
      <c r="F9" s="6" t="str">
        <f t="shared" si="1"/>
        <v>ABOVE 80</v>
      </c>
      <c r="H9" s="4">
        <v>83</v>
      </c>
      <c r="I9" s="4" t="str">
        <f t="shared" si="2"/>
        <v>SENIOR CITIZENS</v>
      </c>
      <c r="J9" s="4"/>
    </row>
    <row r="10" spans="1:19" x14ac:dyDescent="0.25">
      <c r="E10" s="6">
        <v>98</v>
      </c>
      <c r="F10" s="6" t="str">
        <f t="shared" si="1"/>
        <v>ABOVE 80</v>
      </c>
      <c r="H10" s="4">
        <v>98</v>
      </c>
      <c r="I10" s="4" t="str">
        <f t="shared" si="2"/>
        <v>SENIOR CITIZENS</v>
      </c>
      <c r="J10" s="4"/>
    </row>
    <row r="11" spans="1:19" x14ac:dyDescent="0.25">
      <c r="E11" s="6">
        <v>89</v>
      </c>
      <c r="F11" s="6" t="str">
        <f t="shared" si="1"/>
        <v>ABOVE 80</v>
      </c>
      <c r="H11" s="4">
        <v>89</v>
      </c>
      <c r="I11" s="4" t="str">
        <f t="shared" si="2"/>
        <v>SENIOR CITIZENS</v>
      </c>
      <c r="J11" s="4"/>
    </row>
    <row r="12" spans="1:19" x14ac:dyDescent="0.25">
      <c r="E12" s="6">
        <v>2</v>
      </c>
      <c r="F12" s="6" t="str">
        <f t="shared" si="1"/>
        <v>BELOW 80</v>
      </c>
      <c r="H12" s="4">
        <v>2</v>
      </c>
      <c r="I12" s="4" t="str">
        <f t="shared" si="2"/>
        <v>CHILDRENS</v>
      </c>
      <c r="J12" s="4"/>
    </row>
    <row r="13" spans="1:19" x14ac:dyDescent="0.25">
      <c r="M13" s="13" t="s">
        <v>21</v>
      </c>
      <c r="N13" s="14"/>
    </row>
    <row r="14" spans="1:19" ht="15.75" x14ac:dyDescent="0.25">
      <c r="E14" s="10" t="s">
        <v>18</v>
      </c>
      <c r="H14" s="11" t="s">
        <v>19</v>
      </c>
      <c r="M14" s="14" t="s">
        <v>22</v>
      </c>
      <c r="N14" s="14" t="e">
        <f>10/0</f>
        <v>#DIV/0!</v>
      </c>
    </row>
    <row r="15" spans="1:19" x14ac:dyDescent="0.25">
      <c r="M15" s="14" t="s">
        <v>23</v>
      </c>
      <c r="N15" s="14" t="e">
        <f>VLOOKUP(100,A2:B6,2,FALSE)</f>
        <v>#N/A</v>
      </c>
    </row>
    <row r="16" spans="1:19" x14ac:dyDescent="0.25">
      <c r="M16" s="14" t="s">
        <v>24</v>
      </c>
      <c r="N16" s="14" t="e">
        <f>"ABC"+10</f>
        <v>#VALUE!</v>
      </c>
    </row>
    <row r="17" spans="13:14" x14ac:dyDescent="0.25">
      <c r="M17" s="14" t="s">
        <v>25</v>
      </c>
      <c r="N17" s="14" t="e">
        <f>SQRT(-1)</f>
        <v>#NUM!</v>
      </c>
    </row>
    <row r="19" spans="13:14" ht="33.75" x14ac:dyDescent="0.5">
      <c r="M19" s="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2026-06-02T10:29:04Z</dcterms:modified>
</cp:coreProperties>
</file>