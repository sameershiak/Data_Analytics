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MITS\Downloads\"/>
    </mc:Choice>
  </mc:AlternateContent>
  <xr:revisionPtr revIDLastSave="0" documentId="13_ncr:1_{BC277B2C-881A-429B-90B8-CEFA0590107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26" i="1" l="1"/>
  <c r="T25" i="1"/>
  <c r="T24" i="1"/>
  <c r="O30" i="1"/>
  <c r="O29" i="1"/>
  <c r="O28" i="1"/>
  <c r="N30" i="1"/>
  <c r="N29" i="1"/>
  <c r="N28" i="1"/>
  <c r="K23" i="1"/>
  <c r="K24" i="1"/>
  <c r="K25" i="1"/>
  <c r="K13" i="1"/>
  <c r="K12" i="1"/>
  <c r="K11" i="1"/>
  <c r="D17" i="1"/>
  <c r="D16" i="1"/>
  <c r="D15" i="1"/>
</calcChain>
</file>

<file path=xl/sharedStrings.xml><?xml version="1.0" encoding="utf-8"?>
<sst xmlns="http://schemas.openxmlformats.org/spreadsheetml/2006/main" count="124" uniqueCount="31">
  <si>
    <t>NUMBER</t>
  </si>
  <si>
    <t>DESCRIPTION</t>
  </si>
  <si>
    <t>TYPE</t>
  </si>
  <si>
    <t>PRICE</t>
  </si>
  <si>
    <t>REALME</t>
  </si>
  <si>
    <t>APPLE</t>
  </si>
  <si>
    <t>MOTOROLA</t>
  </si>
  <si>
    <t>NOKIA</t>
  </si>
  <si>
    <t>SONY</t>
  </si>
  <si>
    <t>CANON</t>
  </si>
  <si>
    <t>NIKON</t>
  </si>
  <si>
    <t>SAMSUNG</t>
  </si>
  <si>
    <t>MOBILE</t>
  </si>
  <si>
    <t>ONE PLUS</t>
  </si>
  <si>
    <t>DSLR</t>
  </si>
  <si>
    <t>VLOOKUP</t>
  </si>
  <si>
    <t>GOOGLE</t>
  </si>
  <si>
    <t>Sum</t>
  </si>
  <si>
    <t>Average</t>
  </si>
  <si>
    <t>Running Total</t>
  </si>
  <si>
    <t>Count</t>
  </si>
  <si>
    <t>HLOOKUP</t>
  </si>
  <si>
    <t>SNACKS</t>
  </si>
  <si>
    <t>PIZZA</t>
  </si>
  <si>
    <t>BURGER</t>
  </si>
  <si>
    <t>SANDWICH</t>
  </si>
  <si>
    <t>HOTDOG</t>
  </si>
  <si>
    <t>WAFFLE</t>
  </si>
  <si>
    <t>MATCH</t>
  </si>
  <si>
    <t>INDEX</t>
  </si>
  <si>
    <t>XLOOKUP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</si>
</sst>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rgb="FF00B050"/>
      <name val="Calibri"/>
      <family val="2"/>
      <scheme val="minor"/>
    </font>
    <font>
      <b/>
      <sz val="20"/>
      <color rgb="FF7030A0"/>
      <name val="Calibri"/>
      <family val="2"/>
      <scheme val="minor"/>
    </font>
    <font>
      <b/>
      <sz val="20"/>
      <color theme="5" tint="-0.499984740745262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/>
    <xf numFmtId="0" fontId="0" fillId="2" borderId="1" xfId="0" applyFill="1" applyBorder="1"/>
    <xf numFmtId="0" fontId="0" fillId="3" borderId="1" xfId="0" applyFill="1" applyBorder="1"/>
    <xf numFmtId="0" fontId="2" fillId="3" borderId="1" xfId="0" applyFont="1" applyFill="1" applyBorder="1"/>
    <xf numFmtId="0" fontId="1" fillId="4" borderId="1" xfId="0" applyFont="1" applyFill="1" applyBorder="1"/>
    <xf numFmtId="0" fontId="0" fillId="4" borderId="1" xfId="0" applyFill="1" applyBorder="1"/>
    <xf numFmtId="0" fontId="1" fillId="5" borderId="1" xfId="0" applyFont="1" applyFill="1" applyBorder="1"/>
    <xf numFmtId="0" fontId="0" fillId="5" borderId="1" xfId="0" applyFill="1" applyBorder="1"/>
    <xf numFmtId="0" fontId="3" fillId="7" borderId="1" xfId="0" applyFont="1" applyFill="1" applyBorder="1"/>
    <xf numFmtId="0" fontId="0" fillId="7" borderId="1" xfId="0" applyFill="1" applyBorder="1"/>
    <xf numFmtId="0" fontId="4" fillId="6" borderId="1" xfId="0" applyFont="1" applyFill="1" applyBorder="1"/>
    <xf numFmtId="0" fontId="0" fillId="6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Sheet1!$D$1</c:f>
              <c:strCache>
                <c:ptCount val="1"/>
                <c:pt idx="0">
                  <c:v>PRICE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Sheet1!$A$2:$C$11</c15:sqref>
                  </c15:fullRef>
                  <c15:levelRef>
                    <c15:sqref>Sheet1!$B$2:$B$11</c15:sqref>
                  </c15:levelRef>
                </c:ext>
              </c:extLst>
              <c:f>Sheet1!$B$2:$B$11</c:f>
              <c:strCache>
                <c:ptCount val="10"/>
                <c:pt idx="0">
                  <c:v>GOOGLE</c:v>
                </c:pt>
                <c:pt idx="1">
                  <c:v>REALME</c:v>
                </c:pt>
                <c:pt idx="2">
                  <c:v>APPLE</c:v>
                </c:pt>
                <c:pt idx="3">
                  <c:v>MOTOROLA</c:v>
                </c:pt>
                <c:pt idx="4">
                  <c:v>NOKIA</c:v>
                </c:pt>
                <c:pt idx="5">
                  <c:v>ONE PLUS</c:v>
                </c:pt>
                <c:pt idx="6">
                  <c:v>SONY</c:v>
                </c:pt>
                <c:pt idx="7">
                  <c:v>CANON</c:v>
                </c:pt>
                <c:pt idx="8">
                  <c:v>NIKON</c:v>
                </c:pt>
                <c:pt idx="9">
                  <c:v>SAMSUNG</c:v>
                </c:pt>
              </c:strCache>
            </c:strRef>
          </c:cat>
          <c:val>
            <c:numRef>
              <c:f>Sheet1!$D$2:$D$11</c:f>
              <c:numCache>
                <c:formatCode>General</c:formatCode>
                <c:ptCount val="10"/>
                <c:pt idx="0">
                  <c:v>39000</c:v>
                </c:pt>
                <c:pt idx="1">
                  <c:v>20000</c:v>
                </c:pt>
                <c:pt idx="2">
                  <c:v>89000</c:v>
                </c:pt>
                <c:pt idx="3">
                  <c:v>17000</c:v>
                </c:pt>
                <c:pt idx="4">
                  <c:v>10000</c:v>
                </c:pt>
                <c:pt idx="5">
                  <c:v>29000</c:v>
                </c:pt>
                <c:pt idx="6">
                  <c:v>90000</c:v>
                </c:pt>
                <c:pt idx="7">
                  <c:v>129000</c:v>
                </c:pt>
                <c:pt idx="8">
                  <c:v>79000</c:v>
                </c:pt>
                <c:pt idx="9">
                  <c:v>11000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A6-45BF-8287-3EDC59CD18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45784815"/>
        <c:axId val="1045787215"/>
      </c:barChart>
      <c:catAx>
        <c:axId val="104578481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5787215"/>
        <c:crosses val="autoZero"/>
        <c:auto val="1"/>
        <c:lblAlgn val="ctr"/>
        <c:lblOffset val="100"/>
        <c:noMultiLvlLbl val="0"/>
      </c:catAx>
      <c:valAx>
        <c:axId val="10457872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57848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SNACKS DIFFERENTIATED WITH</a:t>
            </a:r>
            <a:r>
              <a:rPr lang="en-US" baseline="0"/>
              <a:t> PRICE</a:t>
            </a:r>
          </a:p>
        </c:rich>
      </c:tx>
      <c:layout>
        <c:manualLayout>
          <c:xMode val="edge"/>
          <c:yMode val="edge"/>
          <c:x val="0.13990878795967934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Sheet1!$K$15</c:f>
              <c:strCache>
                <c:ptCount val="1"/>
                <c:pt idx="0">
                  <c:v>PRICE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Sheet1!$J$16:$J$20</c:f>
              <c:strCache>
                <c:ptCount val="5"/>
                <c:pt idx="0">
                  <c:v>PIZZA</c:v>
                </c:pt>
                <c:pt idx="1">
                  <c:v>BURGER</c:v>
                </c:pt>
                <c:pt idx="2">
                  <c:v>SANDWICH</c:v>
                </c:pt>
                <c:pt idx="3">
                  <c:v>HOTDOG</c:v>
                </c:pt>
                <c:pt idx="4">
                  <c:v>WAFFLE</c:v>
                </c:pt>
              </c:strCache>
            </c:strRef>
          </c:cat>
          <c:val>
            <c:numRef>
              <c:f>Sheet1!$K$16:$K$20</c:f>
              <c:numCache>
                <c:formatCode>General</c:formatCode>
                <c:ptCount val="5"/>
                <c:pt idx="0">
                  <c:v>200</c:v>
                </c:pt>
                <c:pt idx="1">
                  <c:v>100</c:v>
                </c:pt>
                <c:pt idx="2">
                  <c:v>90</c:v>
                </c:pt>
                <c:pt idx="3">
                  <c:v>50</c:v>
                </c:pt>
                <c:pt idx="4">
                  <c:v>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E1-4735-8E40-CB804C2F8B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333376</xdr:colOff>
      <xdr:row>17</xdr:row>
      <xdr:rowOff>181708</xdr:rowOff>
    </xdr:from>
    <xdr:to>
      <xdr:col>8</xdr:col>
      <xdr:colOff>40299</xdr:colOff>
      <xdr:row>30</xdr:row>
      <xdr:rowOff>8793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1286F08-4EC4-9D48-744B-76E7B0D018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223471</xdr:colOff>
      <xdr:row>9</xdr:row>
      <xdr:rowOff>137746</xdr:rowOff>
    </xdr:from>
    <xdr:to>
      <xdr:col>8</xdr:col>
      <xdr:colOff>446941</xdr:colOff>
      <xdr:row>16</xdr:row>
      <xdr:rowOff>146539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DA66267-D0CC-3A82-6D98-0650F059A2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0"/>
  <sheetViews>
    <sheetView tabSelected="1" zoomScale="130" zoomScaleNormal="130" workbookViewId="0">
      <selection activeCell="N13" sqref="N13"/>
    </sheetView>
  </sheetViews>
  <sheetFormatPr defaultRowHeight="15" x14ac:dyDescent="0.25"/>
  <sheetData>
    <row r="1" spans="1:21" x14ac:dyDescent="0.25">
      <c r="A1" s="5" t="s">
        <v>0</v>
      </c>
      <c r="B1" s="5" t="s">
        <v>1</v>
      </c>
      <c r="C1" s="5" t="s">
        <v>2</v>
      </c>
      <c r="D1" s="5" t="s">
        <v>3</v>
      </c>
    </row>
    <row r="2" spans="1:21" x14ac:dyDescent="0.25">
      <c r="A2" s="6">
        <v>1</v>
      </c>
      <c r="B2" s="6" t="s">
        <v>16</v>
      </c>
      <c r="C2" s="6" t="s">
        <v>12</v>
      </c>
      <c r="D2" s="6">
        <v>39000</v>
      </c>
    </row>
    <row r="3" spans="1:21" x14ac:dyDescent="0.25">
      <c r="A3" s="6">
        <v>2</v>
      </c>
      <c r="B3" s="6" t="s">
        <v>4</v>
      </c>
      <c r="C3" s="6" t="s">
        <v>12</v>
      </c>
      <c r="D3" s="6">
        <v>20000</v>
      </c>
    </row>
    <row r="4" spans="1:21" x14ac:dyDescent="0.25">
      <c r="A4" s="6">
        <v>3</v>
      </c>
      <c r="B4" s="6" t="s">
        <v>5</v>
      </c>
      <c r="C4" s="6" t="s">
        <v>12</v>
      </c>
      <c r="D4" s="6">
        <v>89000</v>
      </c>
      <c r="H4" s="5" t="s">
        <v>0</v>
      </c>
      <c r="I4" s="6">
        <v>1</v>
      </c>
      <c r="J4" s="6">
        <v>2</v>
      </c>
      <c r="K4" s="6">
        <v>3</v>
      </c>
      <c r="L4" s="6">
        <v>4</v>
      </c>
      <c r="M4" s="6">
        <v>5</v>
      </c>
      <c r="N4" s="6">
        <v>6</v>
      </c>
      <c r="O4" s="6">
        <v>7</v>
      </c>
      <c r="P4" s="6">
        <v>8</v>
      </c>
      <c r="Q4" s="6">
        <v>9</v>
      </c>
      <c r="R4" s="6">
        <v>10</v>
      </c>
    </row>
    <row r="5" spans="1:21" x14ac:dyDescent="0.25">
      <c r="A5" s="6">
        <v>4</v>
      </c>
      <c r="B5" s="6" t="s">
        <v>6</v>
      </c>
      <c r="C5" s="6" t="s">
        <v>12</v>
      </c>
      <c r="D5" s="6">
        <v>17000</v>
      </c>
      <c r="H5" s="5" t="s">
        <v>1</v>
      </c>
      <c r="I5" s="6" t="s">
        <v>16</v>
      </c>
      <c r="J5" s="6" t="s">
        <v>4</v>
      </c>
      <c r="K5" s="6" t="s">
        <v>5</v>
      </c>
      <c r="L5" s="6" t="s">
        <v>6</v>
      </c>
      <c r="M5" s="6" t="s">
        <v>7</v>
      </c>
      <c r="N5" s="6" t="s">
        <v>13</v>
      </c>
      <c r="O5" s="6" t="s">
        <v>8</v>
      </c>
      <c r="P5" s="6" t="s">
        <v>9</v>
      </c>
      <c r="Q5" s="6" t="s">
        <v>10</v>
      </c>
      <c r="R5" s="6" t="s">
        <v>11</v>
      </c>
    </row>
    <row r="6" spans="1:21" x14ac:dyDescent="0.25">
      <c r="A6" s="6">
        <v>5</v>
      </c>
      <c r="B6" s="6" t="s">
        <v>7</v>
      </c>
      <c r="C6" s="6" t="s">
        <v>12</v>
      </c>
      <c r="D6" s="6">
        <v>10000</v>
      </c>
      <c r="H6" s="5" t="s">
        <v>2</v>
      </c>
      <c r="I6" s="6" t="s">
        <v>12</v>
      </c>
      <c r="J6" s="6" t="s">
        <v>12</v>
      </c>
      <c r="K6" s="6" t="s">
        <v>12</v>
      </c>
      <c r="L6" s="6" t="s">
        <v>12</v>
      </c>
      <c r="M6" s="6" t="s">
        <v>12</v>
      </c>
      <c r="N6" s="6" t="s">
        <v>12</v>
      </c>
      <c r="O6" s="6" t="s">
        <v>14</v>
      </c>
      <c r="P6" s="6" t="s">
        <v>14</v>
      </c>
      <c r="Q6" s="6" t="s">
        <v>14</v>
      </c>
      <c r="R6" s="6" t="s">
        <v>12</v>
      </c>
    </row>
    <row r="7" spans="1:21" x14ac:dyDescent="0.25">
      <c r="A7" s="6">
        <v>6</v>
      </c>
      <c r="B7" s="6" t="s">
        <v>13</v>
      </c>
      <c r="C7" s="6" t="s">
        <v>12</v>
      </c>
      <c r="D7" s="6">
        <v>29000</v>
      </c>
      <c r="H7" s="5" t="s">
        <v>3</v>
      </c>
      <c r="I7" s="6">
        <v>39000</v>
      </c>
      <c r="J7" s="6">
        <v>20000</v>
      </c>
      <c r="K7" s="6">
        <v>89000</v>
      </c>
      <c r="L7" s="6">
        <v>17000</v>
      </c>
      <c r="M7" s="6">
        <v>10000</v>
      </c>
      <c r="N7" s="6">
        <v>29000</v>
      </c>
      <c r="O7" s="6">
        <v>90000</v>
      </c>
      <c r="P7" s="6">
        <v>129000</v>
      </c>
      <c r="Q7" s="6">
        <v>79000</v>
      </c>
      <c r="R7" s="6">
        <v>11000</v>
      </c>
    </row>
    <row r="8" spans="1:21" x14ac:dyDescent="0.25">
      <c r="A8" s="6">
        <v>7</v>
      </c>
      <c r="B8" s="6" t="s">
        <v>8</v>
      </c>
      <c r="C8" s="6" t="s">
        <v>14</v>
      </c>
      <c r="D8" s="6">
        <v>90000</v>
      </c>
    </row>
    <row r="9" spans="1:21" x14ac:dyDescent="0.25">
      <c r="A9" s="6">
        <v>8</v>
      </c>
      <c r="B9" s="6" t="s">
        <v>9</v>
      </c>
      <c r="C9" s="6" t="s">
        <v>14</v>
      </c>
      <c r="D9" s="6">
        <v>129000</v>
      </c>
    </row>
    <row r="10" spans="1:21" ht="26.25" x14ac:dyDescent="0.4">
      <c r="A10" s="6">
        <v>9</v>
      </c>
      <c r="B10" s="6" t="s">
        <v>10</v>
      </c>
      <c r="C10" s="6" t="s">
        <v>14</v>
      </c>
      <c r="D10" s="6">
        <v>79000</v>
      </c>
      <c r="J10" s="4" t="s">
        <v>21</v>
      </c>
      <c r="K10" s="3"/>
    </row>
    <row r="11" spans="1:21" x14ac:dyDescent="0.25">
      <c r="A11" s="6">
        <v>10</v>
      </c>
      <c r="B11" s="6" t="s">
        <v>11</v>
      </c>
      <c r="C11" s="6" t="s">
        <v>12</v>
      </c>
      <c r="D11" s="6">
        <v>11000</v>
      </c>
      <c r="J11" s="3" t="s">
        <v>7</v>
      </c>
      <c r="K11" s="3">
        <f>HLOOKUP(M5, I5:R7, 3, 0)</f>
        <v>10000</v>
      </c>
      <c r="R11" s="7" t="s">
        <v>0</v>
      </c>
      <c r="S11" s="7" t="s">
        <v>1</v>
      </c>
      <c r="T11" s="7" t="s">
        <v>2</v>
      </c>
      <c r="U11" s="7" t="s">
        <v>3</v>
      </c>
    </row>
    <row r="12" spans="1:21" x14ac:dyDescent="0.25">
      <c r="J12" s="3" t="s">
        <v>10</v>
      </c>
      <c r="K12" s="3">
        <f>HLOOKUP(Q5, I5:R7, 3, 0)</f>
        <v>79000</v>
      </c>
      <c r="R12" s="8">
        <v>1</v>
      </c>
      <c r="S12" s="8" t="s">
        <v>16</v>
      </c>
      <c r="T12" s="8" t="s">
        <v>12</v>
      </c>
      <c r="U12" s="8">
        <v>39000</v>
      </c>
    </row>
    <row r="13" spans="1:21" x14ac:dyDescent="0.25">
      <c r="J13" s="3" t="s">
        <v>6</v>
      </c>
      <c r="K13" s="3">
        <f>HLOOKUP(L5, I5:R7, 3, 0)</f>
        <v>17000</v>
      </c>
      <c r="R13" s="8">
        <v>2</v>
      </c>
      <c r="S13" s="8" t="s">
        <v>4</v>
      </c>
      <c r="T13" s="8" t="s">
        <v>12</v>
      </c>
      <c r="U13" s="8">
        <v>20000</v>
      </c>
    </row>
    <row r="14" spans="1:21" ht="26.25" x14ac:dyDescent="0.4">
      <c r="C14" s="4" t="s">
        <v>15</v>
      </c>
      <c r="D14" s="3"/>
      <c r="R14" s="8">
        <v>3</v>
      </c>
      <c r="S14" s="8" t="s">
        <v>5</v>
      </c>
      <c r="T14" s="8" t="s">
        <v>12</v>
      </c>
      <c r="U14" s="8">
        <v>89000</v>
      </c>
    </row>
    <row r="15" spans="1:21" x14ac:dyDescent="0.25">
      <c r="C15" s="3" t="s">
        <v>5</v>
      </c>
      <c r="D15" s="3">
        <f>VLOOKUP(B4, B2:D11, 3, 0)</f>
        <v>89000</v>
      </c>
      <c r="J15" s="1" t="s">
        <v>22</v>
      </c>
      <c r="K15" s="1" t="s">
        <v>3</v>
      </c>
      <c r="M15" s="1" t="s">
        <v>0</v>
      </c>
      <c r="N15" s="1" t="s">
        <v>1</v>
      </c>
      <c r="O15" s="1" t="s">
        <v>2</v>
      </c>
      <c r="P15" s="1" t="s">
        <v>3</v>
      </c>
      <c r="R15" s="8">
        <v>4</v>
      </c>
      <c r="S15" s="8" t="s">
        <v>6</v>
      </c>
      <c r="T15" s="8" t="s">
        <v>12</v>
      </c>
      <c r="U15" s="8">
        <v>17000</v>
      </c>
    </row>
    <row r="16" spans="1:21" x14ac:dyDescent="0.25">
      <c r="C16" s="3" t="s">
        <v>9</v>
      </c>
      <c r="D16" s="3">
        <f>VLOOKUP(B9, B2:D11, 3, 0)</f>
        <v>129000</v>
      </c>
      <c r="J16" s="2" t="s">
        <v>23</v>
      </c>
      <c r="K16" s="2">
        <v>200</v>
      </c>
      <c r="M16" s="2">
        <v>1</v>
      </c>
      <c r="N16" s="2" t="s">
        <v>16</v>
      </c>
      <c r="O16" s="2" t="s">
        <v>12</v>
      </c>
      <c r="P16" s="2">
        <v>39000</v>
      </c>
      <c r="R16" s="8">
        <v>5</v>
      </c>
      <c r="S16" s="8" t="s">
        <v>7</v>
      </c>
      <c r="T16" s="8" t="s">
        <v>12</v>
      </c>
      <c r="U16" s="8">
        <v>10000</v>
      </c>
    </row>
    <row r="17" spans="3:21" x14ac:dyDescent="0.25">
      <c r="C17" s="3" t="s">
        <v>11</v>
      </c>
      <c r="D17" s="3">
        <f>VLOOKUP(B11, B2:D11, 3, 0)</f>
        <v>11000</v>
      </c>
      <c r="J17" s="2" t="s">
        <v>24</v>
      </c>
      <c r="K17" s="2">
        <v>100</v>
      </c>
      <c r="M17" s="2">
        <v>2</v>
      </c>
      <c r="N17" s="2" t="s">
        <v>4</v>
      </c>
      <c r="O17" s="2" t="s">
        <v>12</v>
      </c>
      <c r="P17" s="2">
        <v>20000</v>
      </c>
      <c r="R17" s="8">
        <v>6</v>
      </c>
      <c r="S17" s="8" t="s">
        <v>13</v>
      </c>
      <c r="T17" s="8" t="s">
        <v>12</v>
      </c>
      <c r="U17" s="8">
        <v>29000</v>
      </c>
    </row>
    <row r="18" spans="3:21" x14ac:dyDescent="0.25">
      <c r="J18" s="2" t="s">
        <v>25</v>
      </c>
      <c r="K18" s="2">
        <v>90</v>
      </c>
      <c r="M18" s="2">
        <v>3</v>
      </c>
      <c r="N18" s="2" t="s">
        <v>5</v>
      </c>
      <c r="O18" s="2" t="s">
        <v>12</v>
      </c>
      <c r="P18" s="2">
        <v>89000</v>
      </c>
      <c r="R18" s="8">
        <v>7</v>
      </c>
      <c r="S18" s="8" t="s">
        <v>8</v>
      </c>
      <c r="T18" s="8" t="s">
        <v>14</v>
      </c>
      <c r="U18" s="8">
        <v>90000</v>
      </c>
    </row>
    <row r="19" spans="3:21" x14ac:dyDescent="0.25">
      <c r="J19" s="2" t="s">
        <v>26</v>
      </c>
      <c r="K19" s="2">
        <v>50</v>
      </c>
      <c r="M19" s="2">
        <v>4</v>
      </c>
      <c r="N19" s="2" t="s">
        <v>6</v>
      </c>
      <c r="O19" s="2" t="s">
        <v>12</v>
      </c>
      <c r="P19" s="2">
        <v>17000</v>
      </c>
      <c r="R19" s="8">
        <v>8</v>
      </c>
      <c r="S19" s="8" t="s">
        <v>9</v>
      </c>
      <c r="T19" s="8" t="s">
        <v>14</v>
      </c>
      <c r="U19" s="8">
        <v>129000</v>
      </c>
    </row>
    <row r="20" spans="3:21" x14ac:dyDescent="0.25">
      <c r="J20" s="2" t="s">
        <v>27</v>
      </c>
      <c r="K20" s="2">
        <v>79</v>
      </c>
      <c r="M20" s="2">
        <v>5</v>
      </c>
      <c r="N20" s="2" t="s">
        <v>7</v>
      </c>
      <c r="O20" s="2" t="s">
        <v>12</v>
      </c>
      <c r="P20" s="2">
        <v>10000</v>
      </c>
      <c r="R20" s="8">
        <v>9</v>
      </c>
      <c r="S20" s="8" t="s">
        <v>10</v>
      </c>
      <c r="T20" s="8" t="s">
        <v>14</v>
      </c>
      <c r="U20" s="8">
        <v>79000</v>
      </c>
    </row>
    <row r="21" spans="3:21" x14ac:dyDescent="0.25">
      <c r="M21" s="2">
        <v>6</v>
      </c>
      <c r="N21" s="2" t="s">
        <v>13</v>
      </c>
      <c r="O21" s="2" t="s">
        <v>12</v>
      </c>
      <c r="P21" s="2">
        <v>29000</v>
      </c>
      <c r="R21" s="8">
        <v>10</v>
      </c>
      <c r="S21" s="8" t="s">
        <v>11</v>
      </c>
      <c r="T21" s="8" t="s">
        <v>12</v>
      </c>
      <c r="U21" s="8">
        <v>11000</v>
      </c>
    </row>
    <row r="22" spans="3:21" ht="26.25" x14ac:dyDescent="0.4">
      <c r="J22" s="9" t="s">
        <v>28</v>
      </c>
      <c r="K22" s="10"/>
      <c r="M22" s="2">
        <v>7</v>
      </c>
      <c r="N22" s="2" t="s">
        <v>8</v>
      </c>
      <c r="O22" s="2" t="s">
        <v>14</v>
      </c>
      <c r="P22" s="2">
        <v>90000</v>
      </c>
    </row>
    <row r="23" spans="3:21" ht="26.25" x14ac:dyDescent="0.4">
      <c r="J23" s="10" t="s">
        <v>25</v>
      </c>
      <c r="K23" s="10">
        <f>MATCH(J18, J16:J20, 0)</f>
        <v>3</v>
      </c>
      <c r="M23" s="2">
        <v>8</v>
      </c>
      <c r="N23" s="2" t="s">
        <v>9</v>
      </c>
      <c r="O23" s="2" t="s">
        <v>14</v>
      </c>
      <c r="P23" s="2">
        <v>129000</v>
      </c>
      <c r="S23" s="11" t="s">
        <v>30</v>
      </c>
      <c r="T23" s="12"/>
    </row>
    <row r="24" spans="3:21" x14ac:dyDescent="0.25">
      <c r="J24" s="10" t="s">
        <v>27</v>
      </c>
      <c r="K24" s="10">
        <f>MATCH(J20, J16:J20, 0)</f>
        <v>5</v>
      </c>
      <c r="M24" s="2">
        <v>9</v>
      </c>
      <c r="N24" s="2" t="s">
        <v>10</v>
      </c>
      <c r="O24" s="2" t="s">
        <v>14</v>
      </c>
      <c r="P24" s="2">
        <v>79000</v>
      </c>
      <c r="S24" s="12" t="s">
        <v>13</v>
      </c>
      <c r="T24" s="12" t="str">
        <f>_xlfn.XLOOKUP(S17, S12:S21, T12:T21)</f>
        <v>MOBILE</v>
      </c>
    </row>
    <row r="25" spans="3:21" x14ac:dyDescent="0.25">
      <c r="J25" s="10" t="s">
        <v>23</v>
      </c>
      <c r="K25" s="10">
        <f>MATCH(J16, J16:J20, 0)</f>
        <v>1</v>
      </c>
      <c r="M25" s="2">
        <v>10</v>
      </c>
      <c r="N25" s="2" t="s">
        <v>11</v>
      </c>
      <c r="O25" s="2" t="s">
        <v>12</v>
      </c>
      <c r="P25" s="2">
        <v>11000</v>
      </c>
      <c r="S25" s="12" t="s">
        <v>4</v>
      </c>
      <c r="T25" s="12" t="str">
        <f>_xlfn.XLOOKUP(S13, S12:S21, T12:T21)</f>
        <v>MOBILE</v>
      </c>
    </row>
    <row r="26" spans="3:21" x14ac:dyDescent="0.25">
      <c r="S26" s="12" t="s">
        <v>10</v>
      </c>
      <c r="T26" s="12" t="str">
        <f>_xlfn.XLOOKUP(S20, S12:S21, T12:T21)</f>
        <v>DSLR</v>
      </c>
    </row>
    <row r="27" spans="3:21" ht="26.25" x14ac:dyDescent="0.4">
      <c r="N27" s="9" t="s">
        <v>29</v>
      </c>
      <c r="O27" s="10"/>
    </row>
    <row r="28" spans="3:21" x14ac:dyDescent="0.25">
      <c r="N28" s="10" t="str">
        <f>INDEX(N16:N25, 7)</f>
        <v>SONY</v>
      </c>
      <c r="O28" s="10">
        <f>INDEX(P16:P25, 7)</f>
        <v>90000</v>
      </c>
    </row>
    <row r="29" spans="3:21" x14ac:dyDescent="0.25">
      <c r="N29" s="10" t="str">
        <f>INDEX(N16:N25, 4)</f>
        <v>MOTOROLA</v>
      </c>
      <c r="O29" s="10">
        <f>INDEX(P16:P25, 4)</f>
        <v>17000</v>
      </c>
    </row>
    <row r="30" spans="3:21" x14ac:dyDescent="0.25">
      <c r="N30" s="10" t="str">
        <f>INDEX(N16:N25, 5)</f>
        <v>NOKIA</v>
      </c>
      <c r="O30" s="10">
        <f>INDEX(P16:P25, 5)</f>
        <v>10000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MITS</cp:lastModifiedBy>
  <dcterms:created xsi:type="dcterms:W3CDTF">2015-06-05T18:17:20Z</dcterms:created>
  <dcterms:modified xsi:type="dcterms:W3CDTF">2026-06-02T06:08:34Z</dcterms:modified>
</cp:coreProperties>
</file>