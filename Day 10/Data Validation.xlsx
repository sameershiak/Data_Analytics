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MITS\Documents\Data Analytics 24695a2814\Day 10\"/>
    </mc:Choice>
  </mc:AlternateContent>
  <xr:revisionPtr revIDLastSave="0" documentId="8_{4B2A6EFF-5678-4A30-B91D-9A8FF6F863C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5" i="1" l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4" i="1"/>
  <c r="M3" i="1"/>
  <c r="M2" i="1"/>
</calcChain>
</file>

<file path=xl/sharedStrings.xml><?xml version="1.0" encoding="utf-8"?>
<sst xmlns="http://schemas.openxmlformats.org/spreadsheetml/2006/main" count="115" uniqueCount="63">
  <si>
    <t>StudentID</t>
  </si>
  <si>
    <t>Name</t>
  </si>
  <si>
    <t>Gender</t>
  </si>
  <si>
    <t>AttendanceRate</t>
  </si>
  <si>
    <t>StudyHoursPerWeek</t>
  </si>
  <si>
    <t>PreviousGrade</t>
  </si>
  <si>
    <t>ExtracurricularActivities</t>
  </si>
  <si>
    <t>ParentalSupport</t>
  </si>
  <si>
    <t>FinalGrade</t>
  </si>
  <si>
    <t>Study Hours</t>
  </si>
  <si>
    <t>Attendance (%)</t>
  </si>
  <si>
    <t>Online Classes Taken</t>
  </si>
  <si>
    <t>John</t>
  </si>
  <si>
    <t>Male</t>
  </si>
  <si>
    <t>High</t>
  </si>
  <si>
    <t>Sarah</t>
  </si>
  <si>
    <t>Female</t>
  </si>
  <si>
    <t>Medium</t>
  </si>
  <si>
    <t>Alex</t>
  </si>
  <si>
    <t>Low</t>
  </si>
  <si>
    <t>Michael</t>
  </si>
  <si>
    <t>Emma</t>
  </si>
  <si>
    <t>Olivia</t>
  </si>
  <si>
    <t>Daniel</t>
  </si>
  <si>
    <t>Sophia</t>
  </si>
  <si>
    <t>James</t>
  </si>
  <si>
    <t>Isabella</t>
  </si>
  <si>
    <t>Shannon Harrison</t>
  </si>
  <si>
    <t>Peter Davila</t>
  </si>
  <si>
    <t>Katherine Gray</t>
  </si>
  <si>
    <t>Megan Miller</t>
  </si>
  <si>
    <t>James Williams</t>
  </si>
  <si>
    <t>Derrick Alexander</t>
  </si>
  <si>
    <t>Courtney Clark</t>
  </si>
  <si>
    <t>James Smith</t>
  </si>
  <si>
    <t>James Reynolds</t>
  </si>
  <si>
    <t>Brittany Sutton</t>
  </si>
  <si>
    <t>Annette Medina</t>
  </si>
  <si>
    <t>James Duncan</t>
  </si>
  <si>
    <t>Donna Taylor</t>
  </si>
  <si>
    <t>David Robertson</t>
  </si>
  <si>
    <t>Susan Brown</t>
  </si>
  <si>
    <t>Jessica Ortega</t>
  </si>
  <si>
    <t>Jeremy Hall</t>
  </si>
  <si>
    <t>Peter Jones</t>
  </si>
  <si>
    <t>Michael Sampson</t>
  </si>
  <si>
    <t>Errors</t>
  </si>
  <si>
    <t>SurName</t>
  </si>
  <si>
    <t>Address</t>
  </si>
  <si>
    <t>Shaik</t>
  </si>
  <si>
    <t>Vedantheswar</t>
  </si>
  <si>
    <t>Mallela</t>
  </si>
  <si>
    <t>Sameer Hussain</t>
  </si>
  <si>
    <t>David Samuel Finny</t>
  </si>
  <si>
    <t>Jeldi</t>
  </si>
  <si>
    <t xml:space="preserve">Surya Prakash </t>
  </si>
  <si>
    <t>Degani</t>
  </si>
  <si>
    <t>41/1384, N.G.O. Colony, Kadapa</t>
  </si>
  <si>
    <t>Beside Swetha Hospital, Kadapa</t>
  </si>
  <si>
    <t>Beside Indira Gandhi Stadium, Vijayawada</t>
  </si>
  <si>
    <t>Opposite to JPKP College, Kalavapamula</t>
  </si>
  <si>
    <t>Merge and Center</t>
  </si>
  <si>
    <t>Sorting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</si>
</sst>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7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/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0"/>
  <sheetViews>
    <sheetView tabSelected="1" zoomScale="115" zoomScaleNormal="115" workbookViewId="0">
      <selection activeCell="B5" sqref="B5:B11"/>
    </sheetView>
  </sheetViews>
  <sheetFormatPr defaultRowHeight="15" x14ac:dyDescent="0.25"/>
  <cols>
    <col min="1" max="1" width="11.5703125" customWidth="1"/>
    <col min="2" max="2" width="20.140625" customWidth="1"/>
    <col min="3" max="3" width="9.5703125" customWidth="1"/>
    <col min="4" max="4" width="18.85546875" customWidth="1"/>
    <col min="5" max="5" width="22" customWidth="1"/>
    <col min="6" max="6" width="17.140625" customWidth="1"/>
    <col min="7" max="7" width="24" customWidth="1"/>
    <col min="8" max="8" width="17" customWidth="1"/>
    <col min="9" max="9" width="13.140625" customWidth="1"/>
    <col min="10" max="10" width="13.85546875" customWidth="1"/>
    <col min="11" max="11" width="16.7109375" customWidth="1"/>
    <col min="12" max="12" width="21.42578125" customWidth="1"/>
    <col min="14" max="14" width="20.28515625" customWidth="1"/>
    <col min="15" max="15" width="14.85546875" customWidth="1"/>
    <col min="16" max="16" width="11.4257812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46</v>
      </c>
      <c r="N1" s="1" t="s">
        <v>1</v>
      </c>
      <c r="O1" s="1" t="s">
        <v>47</v>
      </c>
      <c r="P1" s="1" t="s">
        <v>48</v>
      </c>
    </row>
    <row r="2" spans="1:16" ht="60" x14ac:dyDescent="0.25">
      <c r="A2" s="2">
        <v>1</v>
      </c>
      <c r="B2" s="2" t="s">
        <v>12</v>
      </c>
      <c r="C2" s="2" t="s">
        <v>13</v>
      </c>
      <c r="D2" s="2">
        <v>85</v>
      </c>
      <c r="E2" s="2">
        <v>15</v>
      </c>
      <c r="F2" s="2">
        <v>78</v>
      </c>
      <c r="G2" s="2">
        <v>1</v>
      </c>
      <c r="H2" s="2" t="s">
        <v>14</v>
      </c>
      <c r="I2" s="2">
        <v>80</v>
      </c>
      <c r="J2" s="2">
        <v>4.8</v>
      </c>
      <c r="K2" s="2">
        <v>59</v>
      </c>
      <c r="L2" s="2" t="b">
        <v>0</v>
      </c>
      <c r="M2" s="2" t="e">
        <f>AVERAGE(C23,H23)</f>
        <v>#DIV/0!</v>
      </c>
      <c r="N2" s="2" t="s">
        <v>52</v>
      </c>
      <c r="O2" s="2" t="s">
        <v>49</v>
      </c>
      <c r="P2" s="3" t="s">
        <v>57</v>
      </c>
    </row>
    <row r="3" spans="1:16" ht="60" x14ac:dyDescent="0.25">
      <c r="A3" s="2">
        <v>2</v>
      </c>
      <c r="B3" s="2" t="s">
        <v>15</v>
      </c>
      <c r="C3" s="2" t="s">
        <v>16</v>
      </c>
      <c r="D3" s="2">
        <v>90</v>
      </c>
      <c r="E3" s="2">
        <v>20</v>
      </c>
      <c r="F3" s="2">
        <v>85</v>
      </c>
      <c r="G3" s="2">
        <v>2</v>
      </c>
      <c r="H3" s="2" t="s">
        <v>17</v>
      </c>
      <c r="I3" s="2">
        <v>87</v>
      </c>
      <c r="J3" s="2">
        <v>2.2000000000000002</v>
      </c>
      <c r="K3" s="2">
        <v>70</v>
      </c>
      <c r="L3" s="2" t="b">
        <v>1</v>
      </c>
      <c r="M3" s="2" t="e">
        <f>MEDIAN(B19,C20)</f>
        <v>#NUM!</v>
      </c>
      <c r="N3" s="2" t="s">
        <v>50</v>
      </c>
      <c r="O3" s="2" t="s">
        <v>51</v>
      </c>
      <c r="P3" s="3" t="s">
        <v>58</v>
      </c>
    </row>
    <row r="4" spans="1:16" ht="75" x14ac:dyDescent="0.25">
      <c r="A4" s="2">
        <v>3</v>
      </c>
      <c r="B4" s="2" t="s">
        <v>18</v>
      </c>
      <c r="C4" s="2" t="s">
        <v>13</v>
      </c>
      <c r="D4" s="2">
        <v>78</v>
      </c>
      <c r="E4" s="2">
        <v>10</v>
      </c>
      <c r="F4" s="2">
        <v>65</v>
      </c>
      <c r="G4" s="4">
        <v>0</v>
      </c>
      <c r="H4" s="2" t="s">
        <v>19</v>
      </c>
      <c r="I4" s="2">
        <v>68</v>
      </c>
      <c r="J4" s="2">
        <v>4.5999999999999996</v>
      </c>
      <c r="K4" s="2">
        <v>92</v>
      </c>
      <c r="L4" s="2" t="b">
        <v>0</v>
      </c>
      <c r="M4" s="2" t="e">
        <f>CORREL(D15,L11)</f>
        <v>#DIV/0!</v>
      </c>
      <c r="N4" s="2" t="s">
        <v>53</v>
      </c>
      <c r="O4" s="2" t="s">
        <v>54</v>
      </c>
      <c r="P4" s="3" t="s">
        <v>59</v>
      </c>
    </row>
    <row r="5" spans="1:16" ht="75" x14ac:dyDescent="0.25">
      <c r="A5" s="2">
        <v>4</v>
      </c>
      <c r="B5" s="2" t="s">
        <v>20</v>
      </c>
      <c r="C5" s="2" t="s">
        <v>13</v>
      </c>
      <c r="D5" s="2">
        <v>92</v>
      </c>
      <c r="E5" s="2">
        <v>25</v>
      </c>
      <c r="F5" s="2">
        <v>90</v>
      </c>
      <c r="G5" s="2">
        <v>3</v>
      </c>
      <c r="H5" s="2" t="s">
        <v>14</v>
      </c>
      <c r="I5" s="2">
        <v>92</v>
      </c>
      <c r="J5" s="2">
        <v>2.9</v>
      </c>
      <c r="K5" s="2">
        <v>96</v>
      </c>
      <c r="L5" s="2" t="b">
        <v>0</v>
      </c>
      <c r="M5" s="2" t="e">
        <f t="shared" ref="M5" si="0">AVERAGE(C26,H26)</f>
        <v>#DIV/0!</v>
      </c>
      <c r="N5" s="2" t="s">
        <v>55</v>
      </c>
      <c r="O5" s="2" t="s">
        <v>56</v>
      </c>
      <c r="P5" s="3" t="s">
        <v>60</v>
      </c>
    </row>
    <row r="6" spans="1:16" x14ac:dyDescent="0.25">
      <c r="A6" s="2">
        <v>5</v>
      </c>
      <c r="B6" s="2" t="s">
        <v>21</v>
      </c>
      <c r="C6" s="2" t="s">
        <v>16</v>
      </c>
      <c r="D6" s="2"/>
      <c r="E6" s="2">
        <v>18</v>
      </c>
      <c r="F6" s="2">
        <v>82</v>
      </c>
      <c r="G6" s="2">
        <v>2</v>
      </c>
      <c r="H6" s="2" t="s">
        <v>17</v>
      </c>
      <c r="I6" s="2">
        <v>85</v>
      </c>
      <c r="J6" s="2">
        <v>4.0999999999999996</v>
      </c>
      <c r="K6" s="2">
        <v>97</v>
      </c>
      <c r="L6" s="2" t="b">
        <v>1</v>
      </c>
      <c r="M6" s="2" t="e">
        <f t="shared" ref="M6" si="1">MEDIAN(B22,C23)</f>
        <v>#NUM!</v>
      </c>
      <c r="N6" s="1" t="s">
        <v>61</v>
      </c>
      <c r="O6" s="1" t="s">
        <v>62</v>
      </c>
      <c r="P6" s="5"/>
    </row>
    <row r="7" spans="1:16" x14ac:dyDescent="0.25">
      <c r="A7" s="2">
        <v>6</v>
      </c>
      <c r="B7" s="2" t="s">
        <v>22</v>
      </c>
      <c r="C7" s="2" t="s">
        <v>16</v>
      </c>
      <c r="D7" s="2">
        <v>95</v>
      </c>
      <c r="E7" s="2">
        <v>30</v>
      </c>
      <c r="F7" s="2">
        <v>88</v>
      </c>
      <c r="G7" s="2">
        <v>1</v>
      </c>
      <c r="H7" s="2" t="s">
        <v>14</v>
      </c>
      <c r="I7" s="2"/>
      <c r="J7" s="2">
        <v>2.8</v>
      </c>
      <c r="K7" s="2">
        <v>97</v>
      </c>
      <c r="L7" s="2" t="b">
        <v>0</v>
      </c>
      <c r="M7" s="2" t="e">
        <f t="shared" ref="M7" si="2">CORREL(D18,L14)</f>
        <v>#DIV/0!</v>
      </c>
      <c r="N7" s="2">
        <v>1</v>
      </c>
      <c r="O7" s="2">
        <v>20</v>
      </c>
      <c r="P7" s="2"/>
    </row>
    <row r="8" spans="1:16" x14ac:dyDescent="0.25">
      <c r="A8" s="2">
        <v>7</v>
      </c>
      <c r="B8" s="2" t="s">
        <v>23</v>
      </c>
      <c r="C8" s="2" t="s">
        <v>13</v>
      </c>
      <c r="D8" s="2">
        <v>70</v>
      </c>
      <c r="E8" s="2">
        <v>8</v>
      </c>
      <c r="F8" s="2">
        <v>60</v>
      </c>
      <c r="G8" s="4">
        <v>0</v>
      </c>
      <c r="H8" s="2" t="s">
        <v>19</v>
      </c>
      <c r="I8" s="2">
        <v>62</v>
      </c>
      <c r="J8" s="2">
        <v>4.5</v>
      </c>
      <c r="K8" s="2">
        <v>96</v>
      </c>
      <c r="L8" s="2" t="b">
        <v>0</v>
      </c>
      <c r="M8" s="2" t="e">
        <f t="shared" ref="M8" si="3">AVERAGE(C29,H29)</f>
        <v>#DIV/0!</v>
      </c>
      <c r="N8" s="2">
        <v>2</v>
      </c>
      <c r="O8" s="2">
        <v>35</v>
      </c>
      <c r="P8" s="2"/>
    </row>
    <row r="9" spans="1:16" x14ac:dyDescent="0.25">
      <c r="A9" s="2">
        <v>8</v>
      </c>
      <c r="B9" s="2" t="s">
        <v>24</v>
      </c>
      <c r="C9" s="2" t="s">
        <v>16</v>
      </c>
      <c r="D9" s="2"/>
      <c r="E9" s="2">
        <v>17</v>
      </c>
      <c r="F9" s="2">
        <v>77</v>
      </c>
      <c r="G9" s="2">
        <v>1</v>
      </c>
      <c r="H9" s="2" t="s">
        <v>17</v>
      </c>
      <c r="I9" s="2">
        <v>78</v>
      </c>
      <c r="J9" s="2">
        <v>1</v>
      </c>
      <c r="K9" s="2">
        <v>70</v>
      </c>
      <c r="L9" s="2" t="b">
        <v>1</v>
      </c>
      <c r="M9" s="2" t="e">
        <f t="shared" ref="M9" si="4">MEDIAN(B25,C26)</f>
        <v>#NUM!</v>
      </c>
      <c r="N9" s="4">
        <v>0</v>
      </c>
      <c r="O9" s="2">
        <v>62</v>
      </c>
      <c r="P9" s="2"/>
    </row>
    <row r="10" spans="1:16" x14ac:dyDescent="0.25">
      <c r="A10" s="2">
        <v>9</v>
      </c>
      <c r="B10" s="2" t="s">
        <v>25</v>
      </c>
      <c r="C10" s="2" t="s">
        <v>13</v>
      </c>
      <c r="D10" s="2">
        <v>82</v>
      </c>
      <c r="E10" s="2">
        <v>12</v>
      </c>
      <c r="F10" s="2">
        <v>70</v>
      </c>
      <c r="G10" s="2">
        <v>2</v>
      </c>
      <c r="H10" s="2" t="s">
        <v>19</v>
      </c>
      <c r="I10" s="2">
        <v>72</v>
      </c>
      <c r="J10" s="2">
        <v>3.6</v>
      </c>
      <c r="K10" s="2">
        <v>50</v>
      </c>
      <c r="L10" s="2" t="b">
        <v>0</v>
      </c>
      <c r="M10" s="2" t="e">
        <f t="shared" ref="M10" si="5">CORREL(D21,L17)</f>
        <v>#DIV/0!</v>
      </c>
      <c r="N10" s="2">
        <v>3</v>
      </c>
      <c r="O10" s="2">
        <v>62</v>
      </c>
      <c r="P10" s="2"/>
    </row>
    <row r="11" spans="1:16" x14ac:dyDescent="0.25">
      <c r="A11" s="2">
        <v>10</v>
      </c>
      <c r="B11" s="2" t="s">
        <v>26</v>
      </c>
      <c r="C11" s="2" t="s">
        <v>16</v>
      </c>
      <c r="D11" s="2">
        <v>91</v>
      </c>
      <c r="E11" s="2">
        <v>22</v>
      </c>
      <c r="F11" s="2">
        <v>86</v>
      </c>
      <c r="G11" s="2">
        <v>3</v>
      </c>
      <c r="H11" s="2" t="s">
        <v>14</v>
      </c>
      <c r="I11" s="2">
        <v>88</v>
      </c>
      <c r="J11" s="2">
        <v>2.9</v>
      </c>
      <c r="K11" s="2">
        <v>59</v>
      </c>
      <c r="L11" s="2" t="b">
        <v>1</v>
      </c>
      <c r="M11" s="2" t="e">
        <f t="shared" ref="M11" si="6">AVERAGE(C32,H32)</f>
        <v>#DIV/0!</v>
      </c>
      <c r="N11" s="2">
        <v>2</v>
      </c>
      <c r="O11" s="2">
        <v>62</v>
      </c>
      <c r="P11" s="2"/>
    </row>
    <row r="12" spans="1:16" x14ac:dyDescent="0.25">
      <c r="A12" s="2">
        <v>2824</v>
      </c>
      <c r="B12" s="2" t="s">
        <v>27</v>
      </c>
      <c r="C12" s="2" t="s">
        <v>13</v>
      </c>
      <c r="D12" s="2">
        <v>88</v>
      </c>
      <c r="E12" s="2">
        <v>25</v>
      </c>
      <c r="F12" s="2">
        <v>90</v>
      </c>
      <c r="G12" s="4">
        <v>0</v>
      </c>
      <c r="H12" s="2"/>
      <c r="I12" s="2">
        <v>87</v>
      </c>
      <c r="J12" s="2">
        <v>3.4</v>
      </c>
      <c r="K12" s="2">
        <v>84</v>
      </c>
      <c r="L12" s="2" t="b">
        <v>1</v>
      </c>
      <c r="M12" s="2" t="e">
        <f t="shared" ref="M12" si="7">MEDIAN(B28,C29)</f>
        <v>#NUM!</v>
      </c>
      <c r="N12" s="2">
        <v>1</v>
      </c>
      <c r="O12" s="2">
        <v>68</v>
      </c>
      <c r="P12" s="2"/>
    </row>
    <row r="13" spans="1:16" x14ac:dyDescent="0.25">
      <c r="A13" s="2">
        <v>7912</v>
      </c>
      <c r="B13" s="2" t="s">
        <v>28</v>
      </c>
      <c r="C13" s="2" t="s">
        <v>13</v>
      </c>
      <c r="D13" s="2">
        <v>85</v>
      </c>
      <c r="E13" s="2">
        <v>20</v>
      </c>
      <c r="F13" s="2"/>
      <c r="G13" s="2">
        <v>3</v>
      </c>
      <c r="H13" s="2" t="s">
        <v>19</v>
      </c>
      <c r="I13" s="2">
        <v>88</v>
      </c>
      <c r="J13" s="2">
        <v>0.1</v>
      </c>
      <c r="K13" s="2">
        <v>62</v>
      </c>
      <c r="L13" s="2" t="b">
        <v>0</v>
      </c>
      <c r="M13" s="2" t="e">
        <f t="shared" ref="M13" si="8">CORREL(D24,L20)</f>
        <v>#DIV/0!</v>
      </c>
      <c r="N13" s="4">
        <v>0</v>
      </c>
      <c r="O13" s="2">
        <v>72</v>
      </c>
      <c r="P13" s="2"/>
    </row>
    <row r="14" spans="1:16" x14ac:dyDescent="0.25">
      <c r="A14" s="2">
        <v>4611</v>
      </c>
      <c r="B14" s="2" t="s">
        <v>29</v>
      </c>
      <c r="C14" s="2" t="s">
        <v>16</v>
      </c>
      <c r="D14" s="2">
        <v>91</v>
      </c>
      <c r="E14" s="2">
        <v>18</v>
      </c>
      <c r="F14" s="2">
        <v>78</v>
      </c>
      <c r="G14" s="4">
        <v>0</v>
      </c>
      <c r="H14" s="2" t="s">
        <v>19</v>
      </c>
      <c r="I14" s="2">
        <v>62</v>
      </c>
      <c r="J14" s="2">
        <v>1.7</v>
      </c>
      <c r="K14" s="2">
        <v>59</v>
      </c>
      <c r="L14" s="2" t="b">
        <v>1</v>
      </c>
      <c r="M14" s="2" t="e">
        <f t="shared" ref="M14" si="9">AVERAGE(C35,H35)</f>
        <v>#DIV/0!</v>
      </c>
      <c r="N14" s="2">
        <v>1</v>
      </c>
      <c r="O14" s="2">
        <v>72</v>
      </c>
      <c r="P14" s="2"/>
    </row>
    <row r="15" spans="1:16" x14ac:dyDescent="0.25">
      <c r="A15" s="2">
        <v>6514</v>
      </c>
      <c r="B15" s="2" t="s">
        <v>30</v>
      </c>
      <c r="C15" s="2" t="s">
        <v>13</v>
      </c>
      <c r="D15" s="2">
        <v>90</v>
      </c>
      <c r="E15" s="2">
        <v>8</v>
      </c>
      <c r="F15" s="2">
        <v>85</v>
      </c>
      <c r="G15" s="2">
        <v>1</v>
      </c>
      <c r="H15" s="2" t="s">
        <v>17</v>
      </c>
      <c r="I15" s="2">
        <v>88</v>
      </c>
      <c r="J15" s="2">
        <v>1.3</v>
      </c>
      <c r="K15" s="2">
        <v>52</v>
      </c>
      <c r="L15" s="2" t="b">
        <v>0</v>
      </c>
      <c r="M15" s="2" t="e">
        <f t="shared" ref="M15" si="10">MEDIAN(B31,C32)</f>
        <v>#NUM!</v>
      </c>
      <c r="N15" s="2">
        <v>2</v>
      </c>
      <c r="O15" s="2">
        <v>72</v>
      </c>
      <c r="P15" s="2"/>
    </row>
    <row r="16" spans="1:16" x14ac:dyDescent="0.25">
      <c r="A16" s="2"/>
      <c r="B16" s="2" t="s">
        <v>31</v>
      </c>
      <c r="C16" s="2" t="s">
        <v>13</v>
      </c>
      <c r="D16" s="2">
        <v>70</v>
      </c>
      <c r="E16" s="2">
        <v>20</v>
      </c>
      <c r="F16" s="2">
        <v>70</v>
      </c>
      <c r="G16" s="2">
        <v>2</v>
      </c>
      <c r="H16" s="2" t="s">
        <v>19</v>
      </c>
      <c r="I16" s="2">
        <v>88</v>
      </c>
      <c r="J16" s="2">
        <v>4.4000000000000004</v>
      </c>
      <c r="K16" s="2">
        <v>73</v>
      </c>
      <c r="L16" s="2" t="b">
        <v>1</v>
      </c>
      <c r="M16" s="2" t="e">
        <f t="shared" ref="M16" si="11">CORREL(D27,L23)</f>
        <v>#DIV/0!</v>
      </c>
      <c r="N16" s="2">
        <v>3</v>
      </c>
      <c r="O16" s="2">
        <v>78</v>
      </c>
      <c r="P16" s="2"/>
    </row>
    <row r="17" spans="1:16" x14ac:dyDescent="0.25">
      <c r="A17" s="2">
        <v>2139</v>
      </c>
      <c r="B17" s="2" t="s">
        <v>32</v>
      </c>
      <c r="C17" s="2" t="s">
        <v>13</v>
      </c>
      <c r="D17" s="2"/>
      <c r="E17" s="2">
        <v>18</v>
      </c>
      <c r="F17" s="2">
        <v>85</v>
      </c>
      <c r="G17" s="2">
        <v>3</v>
      </c>
      <c r="H17" s="2" t="s">
        <v>14</v>
      </c>
      <c r="I17" s="2">
        <v>62</v>
      </c>
      <c r="J17" s="2">
        <v>1.4</v>
      </c>
      <c r="K17" s="2">
        <v>90</v>
      </c>
      <c r="L17" s="2" t="b">
        <v>0</v>
      </c>
      <c r="M17" s="2" t="e">
        <f t="shared" ref="M17" si="12">AVERAGE(C38,H38)</f>
        <v>#DIV/0!</v>
      </c>
      <c r="N17" s="4">
        <v>0</v>
      </c>
      <c r="O17" s="2">
        <v>78</v>
      </c>
      <c r="P17" s="2"/>
    </row>
    <row r="18" spans="1:16" x14ac:dyDescent="0.25">
      <c r="A18" s="2"/>
      <c r="B18" s="2" t="s">
        <v>33</v>
      </c>
      <c r="C18" s="2"/>
      <c r="D18" s="2">
        <v>95</v>
      </c>
      <c r="E18" s="2">
        <v>25</v>
      </c>
      <c r="F18" s="2">
        <v>82</v>
      </c>
      <c r="G18" s="2">
        <v>2</v>
      </c>
      <c r="H18" s="2" t="s">
        <v>19</v>
      </c>
      <c r="I18" s="2">
        <v>68</v>
      </c>
      <c r="J18" s="2">
        <v>2.7</v>
      </c>
      <c r="K18" s="2">
        <v>65</v>
      </c>
      <c r="L18" s="2" t="b">
        <v>1</v>
      </c>
      <c r="M18" s="2" t="e">
        <f t="shared" ref="M18" si="13">MEDIAN(B34,C35)</f>
        <v>#NUM!</v>
      </c>
      <c r="N18" s="2">
        <v>3</v>
      </c>
      <c r="O18" s="2">
        <v>78</v>
      </c>
      <c r="P18" s="2"/>
    </row>
    <row r="19" spans="1:16" x14ac:dyDescent="0.25">
      <c r="A19" s="2">
        <v>8573</v>
      </c>
      <c r="B19" s="2" t="s">
        <v>34</v>
      </c>
      <c r="C19" s="2" t="s">
        <v>16</v>
      </c>
      <c r="D19" s="2">
        <v>88</v>
      </c>
      <c r="E19" s="2">
        <v>12</v>
      </c>
      <c r="F19" s="2">
        <v>90</v>
      </c>
      <c r="G19" s="2">
        <v>1</v>
      </c>
      <c r="H19" s="2" t="s">
        <v>14</v>
      </c>
      <c r="I19" s="2">
        <v>92</v>
      </c>
      <c r="J19" s="2">
        <v>4.0999999999999996</v>
      </c>
      <c r="K19" s="2">
        <v>70</v>
      </c>
      <c r="L19" s="2" t="b">
        <v>0</v>
      </c>
      <c r="M19" s="2" t="e">
        <f t="shared" ref="M19" si="14">CORREL(D30,L26)</f>
        <v>#DIV/0!</v>
      </c>
      <c r="N19" s="4">
        <v>0</v>
      </c>
      <c r="O19" s="2">
        <v>80</v>
      </c>
      <c r="P19" s="2"/>
    </row>
    <row r="20" spans="1:16" x14ac:dyDescent="0.25">
      <c r="A20" s="2">
        <v>5386</v>
      </c>
      <c r="B20" s="2" t="s">
        <v>35</v>
      </c>
      <c r="C20" s="2" t="s">
        <v>13</v>
      </c>
      <c r="D20" s="2">
        <v>92</v>
      </c>
      <c r="E20" s="2">
        <v>22</v>
      </c>
      <c r="F20" s="2">
        <v>88</v>
      </c>
      <c r="G20" s="2">
        <v>3</v>
      </c>
      <c r="H20" s="2" t="s">
        <v>19</v>
      </c>
      <c r="I20" s="2">
        <v>78</v>
      </c>
      <c r="J20" s="2">
        <v>2</v>
      </c>
      <c r="K20" s="2">
        <v>91</v>
      </c>
      <c r="L20" s="2" t="b">
        <v>0</v>
      </c>
      <c r="M20" s="2" t="e">
        <f t="shared" ref="M20" si="15">AVERAGE(C41,H41)</f>
        <v>#DIV/0!</v>
      </c>
      <c r="N20" s="2">
        <v>1</v>
      </c>
      <c r="O20" s="2">
        <v>87</v>
      </c>
      <c r="P20" s="2"/>
    </row>
    <row r="21" spans="1:16" x14ac:dyDescent="0.25">
      <c r="A21" s="2">
        <v>3340</v>
      </c>
      <c r="B21" s="2" t="s">
        <v>36</v>
      </c>
      <c r="C21" s="2" t="s">
        <v>16</v>
      </c>
      <c r="D21" s="2">
        <v>78</v>
      </c>
      <c r="E21" s="2">
        <v>25</v>
      </c>
      <c r="F21" s="2">
        <v>70</v>
      </c>
      <c r="G21" s="2">
        <v>2</v>
      </c>
      <c r="H21" s="2" t="s">
        <v>17</v>
      </c>
      <c r="I21" s="2">
        <v>88</v>
      </c>
      <c r="J21" s="2">
        <v>2.1</v>
      </c>
      <c r="K21" s="2">
        <v>87</v>
      </c>
      <c r="L21" s="2" t="b">
        <v>0</v>
      </c>
      <c r="M21" s="2" t="e">
        <f t="shared" ref="M21" si="16">MEDIAN(B37,C38)</f>
        <v>#NUM!</v>
      </c>
      <c r="N21" s="2">
        <v>2</v>
      </c>
      <c r="O21" s="2">
        <v>87</v>
      </c>
      <c r="P21" s="2"/>
    </row>
    <row r="22" spans="1:16" x14ac:dyDescent="0.25">
      <c r="A22" s="2">
        <v>6930</v>
      </c>
      <c r="B22" s="2" t="s">
        <v>37</v>
      </c>
      <c r="C22" s="2" t="s">
        <v>13</v>
      </c>
      <c r="D22" s="2">
        <v>78</v>
      </c>
      <c r="E22" s="2">
        <v>12</v>
      </c>
      <c r="F22" s="2">
        <v>77</v>
      </c>
      <c r="G22" s="2">
        <v>2</v>
      </c>
      <c r="H22" s="2" t="s">
        <v>14</v>
      </c>
      <c r="I22" s="2">
        <v>87</v>
      </c>
      <c r="J22" s="2">
        <v>0.8</v>
      </c>
      <c r="K22" s="2">
        <v>60</v>
      </c>
      <c r="L22" s="2" t="b">
        <v>0</v>
      </c>
      <c r="M22" s="2" t="e">
        <f t="shared" ref="M22" si="17">CORREL(D33,L29)</f>
        <v>#VALUE!</v>
      </c>
      <c r="N22" s="2">
        <v>3</v>
      </c>
      <c r="O22" s="2">
        <v>87</v>
      </c>
      <c r="P22" s="2"/>
    </row>
    <row r="23" spans="1:16" x14ac:dyDescent="0.25">
      <c r="A23" s="2">
        <v>2040</v>
      </c>
      <c r="B23" s="2" t="s">
        <v>38</v>
      </c>
      <c r="C23" s="2" t="s">
        <v>16</v>
      </c>
      <c r="D23" s="2">
        <v>70</v>
      </c>
      <c r="E23" s="2">
        <v>22</v>
      </c>
      <c r="F23" s="2">
        <v>77</v>
      </c>
      <c r="G23" s="2">
        <v>2</v>
      </c>
      <c r="H23" s="2" t="s">
        <v>17</v>
      </c>
      <c r="I23" s="2">
        <v>72</v>
      </c>
      <c r="J23" s="2">
        <v>4.3</v>
      </c>
      <c r="K23" s="2">
        <v>50</v>
      </c>
      <c r="L23" s="2" t="b">
        <v>1</v>
      </c>
      <c r="M23" s="2" t="e">
        <f t="shared" ref="M23" si="18">AVERAGE(C44,H44)</f>
        <v>#DIV/0!</v>
      </c>
      <c r="N23" s="2">
        <v>2</v>
      </c>
      <c r="O23" s="2">
        <v>88</v>
      </c>
      <c r="P23" s="2"/>
    </row>
    <row r="24" spans="1:16" x14ac:dyDescent="0.25">
      <c r="A24" s="2">
        <v>9797</v>
      </c>
      <c r="B24" s="2" t="s">
        <v>39</v>
      </c>
      <c r="C24" s="2" t="s">
        <v>16</v>
      </c>
      <c r="D24" s="2">
        <v>95</v>
      </c>
      <c r="E24" s="2">
        <v>20</v>
      </c>
      <c r="F24" s="2">
        <v>82</v>
      </c>
      <c r="G24" s="2"/>
      <c r="H24" s="2" t="s">
        <v>14</v>
      </c>
      <c r="I24" s="2">
        <v>78</v>
      </c>
      <c r="J24" s="4">
        <v>0</v>
      </c>
      <c r="K24" s="2">
        <v>96</v>
      </c>
      <c r="L24" s="2" t="b">
        <v>0</v>
      </c>
      <c r="M24" s="2" t="e">
        <f t="shared" ref="M24" si="19">MEDIAN(B40,C41)</f>
        <v>#NUM!</v>
      </c>
      <c r="N24" s="2">
        <v>1</v>
      </c>
      <c r="O24" s="2">
        <v>88</v>
      </c>
      <c r="P24" s="2"/>
    </row>
    <row r="25" spans="1:16" x14ac:dyDescent="0.25">
      <c r="A25" s="2">
        <v>9201</v>
      </c>
      <c r="B25" s="2" t="s">
        <v>40</v>
      </c>
      <c r="C25" s="2" t="s">
        <v>13</v>
      </c>
      <c r="D25" s="2">
        <v>82</v>
      </c>
      <c r="E25" s="2">
        <v>20</v>
      </c>
      <c r="F25" s="2">
        <v>82</v>
      </c>
      <c r="G25" s="2"/>
      <c r="H25" s="2" t="s">
        <v>19</v>
      </c>
      <c r="I25" s="2"/>
      <c r="J25" s="2">
        <v>0.8</v>
      </c>
      <c r="K25" s="2">
        <v>98</v>
      </c>
      <c r="L25" s="2" t="b">
        <v>1</v>
      </c>
      <c r="M25" s="2" t="e">
        <f t="shared" ref="M25" si="20">CORREL(D36,L32)</f>
        <v>#VALUE!</v>
      </c>
      <c r="N25" s="2">
        <v>3</v>
      </c>
      <c r="O25" s="2">
        <v>88</v>
      </c>
      <c r="P25" s="2"/>
    </row>
    <row r="26" spans="1:16" x14ac:dyDescent="0.25">
      <c r="A26" s="2">
        <v>9837</v>
      </c>
      <c r="B26" s="2" t="s">
        <v>41</v>
      </c>
      <c r="C26" s="2" t="s">
        <v>13</v>
      </c>
      <c r="D26" s="2">
        <v>91</v>
      </c>
      <c r="E26" s="2">
        <v>30</v>
      </c>
      <c r="F26" s="2">
        <v>77</v>
      </c>
      <c r="G26" s="2">
        <v>1</v>
      </c>
      <c r="H26" s="2" t="s">
        <v>14</v>
      </c>
      <c r="I26" s="2">
        <v>90</v>
      </c>
      <c r="J26" s="2">
        <v>4.4000000000000004</v>
      </c>
      <c r="K26" s="2">
        <v>69</v>
      </c>
      <c r="L26" s="2" t="b">
        <v>1</v>
      </c>
      <c r="M26" s="2" t="e">
        <f t="shared" ref="M26" si="21">AVERAGE(C47,H47)</f>
        <v>#DIV/0!</v>
      </c>
      <c r="N26" s="2">
        <v>2</v>
      </c>
      <c r="O26" s="2">
        <v>88</v>
      </c>
      <c r="P26" s="2"/>
    </row>
    <row r="27" spans="1:16" x14ac:dyDescent="0.25">
      <c r="A27" s="2">
        <v>1949</v>
      </c>
      <c r="B27" s="2" t="s">
        <v>42</v>
      </c>
      <c r="C27" s="2" t="s">
        <v>13</v>
      </c>
      <c r="D27" s="2">
        <v>91</v>
      </c>
      <c r="E27" s="2">
        <v>20</v>
      </c>
      <c r="F27" s="2"/>
      <c r="G27" s="2">
        <v>1</v>
      </c>
      <c r="H27" s="2" t="s">
        <v>14</v>
      </c>
      <c r="I27" s="2">
        <v>72</v>
      </c>
      <c r="J27" s="2">
        <v>3.8</v>
      </c>
      <c r="K27" s="2">
        <v>58</v>
      </c>
      <c r="L27" s="2" t="b">
        <v>0</v>
      </c>
      <c r="M27" s="2" t="e">
        <f t="shared" ref="M27" si="22">MEDIAN(B43,C44)</f>
        <v>#NUM!</v>
      </c>
      <c r="N27" s="2">
        <v>2</v>
      </c>
      <c r="O27" s="2">
        <v>88</v>
      </c>
      <c r="P27" s="2"/>
    </row>
    <row r="28" spans="1:16" x14ac:dyDescent="0.25">
      <c r="A28" s="2">
        <v>3705</v>
      </c>
      <c r="B28" s="2" t="s">
        <v>43</v>
      </c>
      <c r="C28" s="2" t="s">
        <v>16</v>
      </c>
      <c r="D28" s="2"/>
      <c r="E28" s="2"/>
      <c r="F28" s="2">
        <v>60</v>
      </c>
      <c r="G28" s="2">
        <v>3</v>
      </c>
      <c r="H28" s="2" t="s">
        <v>19</v>
      </c>
      <c r="I28" s="2">
        <v>92</v>
      </c>
      <c r="J28" s="2">
        <v>3.6</v>
      </c>
      <c r="K28" s="2">
        <v>75</v>
      </c>
      <c r="L28" s="2" t="b">
        <v>0</v>
      </c>
      <c r="M28" s="2" t="e">
        <f t="shared" ref="M28" si="23">CORREL(D39,L35)</f>
        <v>#VALUE!</v>
      </c>
      <c r="N28" s="2">
        <v>2</v>
      </c>
      <c r="O28" s="2">
        <v>90</v>
      </c>
      <c r="P28" s="2"/>
    </row>
    <row r="29" spans="1:16" x14ac:dyDescent="0.25">
      <c r="A29" s="2">
        <v>8177</v>
      </c>
      <c r="B29" s="2" t="s">
        <v>44</v>
      </c>
      <c r="C29" s="2" t="s">
        <v>16</v>
      </c>
      <c r="D29" s="2">
        <v>90</v>
      </c>
      <c r="E29" s="2">
        <v>25</v>
      </c>
      <c r="F29" s="2">
        <v>90</v>
      </c>
      <c r="G29" s="2">
        <v>2</v>
      </c>
      <c r="H29" s="2" t="s">
        <v>17</v>
      </c>
      <c r="I29" s="2">
        <v>80</v>
      </c>
      <c r="J29" s="2">
        <v>2.9</v>
      </c>
      <c r="K29" s="2">
        <v>64</v>
      </c>
      <c r="L29" s="2" t="b">
        <v>1</v>
      </c>
      <c r="M29" s="2" t="e">
        <f t="shared" ref="M29" si="24">AVERAGE(C50,H50)</f>
        <v>#DIV/0!</v>
      </c>
      <c r="N29" s="2">
        <v>1</v>
      </c>
      <c r="O29" s="2">
        <v>92</v>
      </c>
      <c r="P29" s="2"/>
    </row>
    <row r="30" spans="1:16" x14ac:dyDescent="0.25">
      <c r="A30" s="2">
        <v>1117</v>
      </c>
      <c r="B30" s="2" t="s">
        <v>45</v>
      </c>
      <c r="C30" s="2" t="s">
        <v>13</v>
      </c>
      <c r="D30" s="2">
        <v>85</v>
      </c>
      <c r="E30" s="2">
        <v>25</v>
      </c>
      <c r="F30" s="2"/>
      <c r="G30" s="2">
        <v>1</v>
      </c>
      <c r="H30" s="2" t="s">
        <v>17</v>
      </c>
      <c r="I30" s="2">
        <v>87</v>
      </c>
      <c r="J30" s="2">
        <v>2.6</v>
      </c>
      <c r="K30" s="2">
        <v>67</v>
      </c>
      <c r="L30" s="2" t="b">
        <v>0</v>
      </c>
      <c r="M30" s="2" t="e">
        <f t="shared" ref="M30" si="25">MEDIAN(B46,C47)</f>
        <v>#NUM!</v>
      </c>
      <c r="N30" s="2">
        <v>3</v>
      </c>
      <c r="O30" s="2">
        <v>92</v>
      </c>
      <c r="P30" s="2"/>
    </row>
  </sheetData>
  <sortState xmlns:xlrd2="http://schemas.microsoft.com/office/spreadsheetml/2017/richdata2" ref="O7:O30">
    <sortCondition ref="O7:O30"/>
  </sortState>
  <dataValidations count="1">
    <dataValidation type="whole" operator="greaterThanOrEqual" allowBlank="1" showInputMessage="1" showErrorMessage="1" sqref="K1:K1048576" xr:uid="{C65EF393-2C78-49B5-B59F-7D9C8E4DA196}">
      <formula1>75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MITS</cp:lastModifiedBy>
  <dcterms:created xsi:type="dcterms:W3CDTF">2015-06-05T18:17:20Z</dcterms:created>
  <dcterms:modified xsi:type="dcterms:W3CDTF">2026-06-08T05:38:15Z</dcterms:modified>
</cp:coreProperties>
</file>