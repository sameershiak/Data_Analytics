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20E1CD5C-58A1-45D4-98E5-BF2F4DEB8186}" xr6:coauthVersionLast="47" xr6:coauthVersionMax="47" xr10:uidLastSave="{00000000-0000-0000-0000-000000000000}"/>
  <bookViews>
    <workbookView xWindow="-120" yWindow="-120" windowWidth="29040" windowHeight="15720" activeTab="1" xr2:uid="{22C84D85-1EE1-4D15-897A-496162B7F774}"/>
  </bookViews>
  <sheets>
    <sheet name="Sheet1" sheetId="2" r:id="rId1"/>
    <sheet name="Sheet2" sheetId="3" r:id="rId2"/>
    <sheet name="employee_salary_dataset" sheetId="1" r:id="rId3"/>
  </sheets>
  <calcPr calcId="0"/>
</workbook>
</file>

<file path=xl/calcChain.xml><?xml version="1.0" encoding="utf-8"?>
<calcChain xmlns="http://schemas.openxmlformats.org/spreadsheetml/2006/main">
  <c r="I58" i="1" l="1"/>
  <c r="D58" i="1"/>
  <c r="F58" i="1"/>
  <c r="I57" i="1"/>
  <c r="F57" i="1"/>
  <c r="D57" i="1"/>
  <c r="I56" i="1"/>
  <c r="F56" i="1"/>
  <c r="D56" i="1"/>
  <c r="I55" i="1"/>
  <c r="F55" i="1"/>
  <c r="D55" i="1"/>
  <c r="I54" i="1"/>
  <c r="F54" i="1"/>
  <c r="D54" i="1"/>
  <c r="I53" i="1"/>
  <c r="F53" i="1"/>
  <c r="D53" i="1"/>
  <c r="F52" i="1"/>
  <c r="I52" i="1"/>
  <c r="D52" i="1"/>
</calcChain>
</file>

<file path=xl/sharedStrings.xml><?xml version="1.0" encoding="utf-8"?>
<sst xmlns="http://schemas.openxmlformats.org/spreadsheetml/2006/main" count="306" uniqueCount="120">
  <si>
    <t>EmployeeID</t>
  </si>
  <si>
    <t>Name</t>
  </si>
  <si>
    <t>Department</t>
  </si>
  <si>
    <t>Experience_Years</t>
  </si>
  <si>
    <t>Education_Level</t>
  </si>
  <si>
    <t>Age</t>
  </si>
  <si>
    <t>Gender</t>
  </si>
  <si>
    <t>City</t>
  </si>
  <si>
    <t>Monthly_Salary</t>
  </si>
  <si>
    <t>Employee_1</t>
  </si>
  <si>
    <t>Marketing</t>
  </si>
  <si>
    <t>Master</t>
  </si>
  <si>
    <t>Female</t>
  </si>
  <si>
    <t>Delhi</t>
  </si>
  <si>
    <t>Employee_2</t>
  </si>
  <si>
    <t>Operations</t>
  </si>
  <si>
    <t>Bachelor</t>
  </si>
  <si>
    <t>Bangalore</t>
  </si>
  <si>
    <t>Employee_3</t>
  </si>
  <si>
    <t>IT</t>
  </si>
  <si>
    <t>High School</t>
  </si>
  <si>
    <t>Hyderabad</t>
  </si>
  <si>
    <t>Employee_4</t>
  </si>
  <si>
    <t>PhD</t>
  </si>
  <si>
    <t>Male</t>
  </si>
  <si>
    <t>Employee_5</t>
  </si>
  <si>
    <t>Employee_6</t>
  </si>
  <si>
    <t>Finance</t>
  </si>
  <si>
    <t>Mumbai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</si>
  <si>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</si>
  <si>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</si>
  <si>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</si>
  <si>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</si>
  <si>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</si>
  <si>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</si>
  <si>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</si>
  <si>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</si>
  <si>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</si>
  <si>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</si>
  <si>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</si>
  <si>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</si>
  <si>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Chennai</t>
  </si>
  <si>
    <t>Employee_19</t>
  </si>
  <si>
    <t>HR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</si>
  <si>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</si>
  <si>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</si>
  <si>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</si>
  <si>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</si>
  <si>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</si>
  <si>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</si>
  <si>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</si>
  <si>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</si>
  <si>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</si>
  <si>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</si>
  <si>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</si>
  <si>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</si>
  <si>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</si>
  <si>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</si>
  <si>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</si>
  <si>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</si>
  <si>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</si>
  <si>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</si>
  <si>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</si>
  <si>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</si>
  <si>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</si>
  <si>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</si>
  <si>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</si>
  <si>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</si>
  <si>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</si>
  <si>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</si>
  <si>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</si>
  <si>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</si>
  <si>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</si>
  <si>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</si>
  <si>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</si>
  <si>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MEDIAN</t>
  </si>
  <si>
    <t>MEAN</t>
  </si>
  <si>
    <t>MODE</t>
  </si>
  <si>
    <t>RANGE</t>
  </si>
  <si>
    <t>VARIANCE</t>
  </si>
  <si>
    <t>CORRELATION</t>
  </si>
  <si>
    <t>STANDARD DEVIATION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</si>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</sst>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3" fillId="7" borderId="7" xfId="13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01456692913385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008610868081639E-2"/>
          <c:y val="0.21134442941908563"/>
          <c:w val="0.85002853777729681"/>
          <c:h val="0.68991020829359306"/>
        </c:manualLayout>
      </c:layout>
      <c:lineChart>
        <c:grouping val="stacked"/>
        <c:varyColors val="0"/>
        <c:ser>
          <c:idx val="0"/>
          <c:order val="0"/>
          <c:tx>
            <c:strRef>
              <c:f>employee_salary_dataset!$D$1</c:f>
              <c:strCache>
                <c:ptCount val="1"/>
                <c:pt idx="0">
                  <c:v>Experience_Years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employee_salary_dataset!$D$2:$D$58</c:f>
              <c:numCache>
                <c:formatCode>General</c:formatCode>
                <c:ptCount val="57"/>
                <c:pt idx="0">
                  <c:v>15</c:v>
                </c:pt>
                <c:pt idx="1">
                  <c:v>7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3</c:v>
                </c:pt>
                <c:pt idx="6">
                  <c:v>14</c:v>
                </c:pt>
                <c:pt idx="7">
                  <c:v>17</c:v>
                </c:pt>
                <c:pt idx="8">
                  <c:v>4</c:v>
                </c:pt>
                <c:pt idx="9">
                  <c:v>18</c:v>
                </c:pt>
                <c:pt idx="10">
                  <c:v>8</c:v>
                </c:pt>
                <c:pt idx="11">
                  <c:v>4</c:v>
                </c:pt>
                <c:pt idx="12">
                  <c:v>2</c:v>
                </c:pt>
                <c:pt idx="13">
                  <c:v>6</c:v>
                </c:pt>
                <c:pt idx="14">
                  <c:v>10</c:v>
                </c:pt>
                <c:pt idx="15">
                  <c:v>4</c:v>
                </c:pt>
                <c:pt idx="16">
                  <c:v>18</c:v>
                </c:pt>
                <c:pt idx="17">
                  <c:v>12</c:v>
                </c:pt>
                <c:pt idx="18">
                  <c:v>2</c:v>
                </c:pt>
                <c:pt idx="19">
                  <c:v>10</c:v>
                </c:pt>
                <c:pt idx="20">
                  <c:v>4</c:v>
                </c:pt>
                <c:pt idx="21">
                  <c:v>14</c:v>
                </c:pt>
                <c:pt idx="22">
                  <c:v>16</c:v>
                </c:pt>
                <c:pt idx="23">
                  <c:v>15</c:v>
                </c:pt>
                <c:pt idx="24">
                  <c:v>8</c:v>
                </c:pt>
                <c:pt idx="25">
                  <c:v>14</c:v>
                </c:pt>
                <c:pt idx="26">
                  <c:v>8</c:v>
                </c:pt>
                <c:pt idx="27">
                  <c:v>16</c:v>
                </c:pt>
                <c:pt idx="28">
                  <c:v>13</c:v>
                </c:pt>
                <c:pt idx="29">
                  <c:v>18</c:v>
                </c:pt>
                <c:pt idx="30">
                  <c:v>15</c:v>
                </c:pt>
                <c:pt idx="31">
                  <c:v>13</c:v>
                </c:pt>
                <c:pt idx="32">
                  <c:v>9</c:v>
                </c:pt>
                <c:pt idx="33">
                  <c:v>15</c:v>
                </c:pt>
                <c:pt idx="34">
                  <c:v>13</c:v>
                </c:pt>
                <c:pt idx="35">
                  <c:v>1</c:v>
                </c:pt>
                <c:pt idx="36">
                  <c:v>7</c:v>
                </c:pt>
                <c:pt idx="37">
                  <c:v>9</c:v>
                </c:pt>
                <c:pt idx="38">
                  <c:v>1</c:v>
                </c:pt>
                <c:pt idx="39">
                  <c:v>12</c:v>
                </c:pt>
                <c:pt idx="40">
                  <c:v>8</c:v>
                </c:pt>
                <c:pt idx="41">
                  <c:v>11</c:v>
                </c:pt>
                <c:pt idx="42">
                  <c:v>19</c:v>
                </c:pt>
                <c:pt idx="43">
                  <c:v>17</c:v>
                </c:pt>
                <c:pt idx="44">
                  <c:v>8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5</c:v>
                </c:pt>
                <c:pt idx="49">
                  <c:v>10</c:v>
                </c:pt>
                <c:pt idx="50">
                  <c:v>9.9</c:v>
                </c:pt>
                <c:pt idx="51">
                  <c:v>10</c:v>
                </c:pt>
                <c:pt idx="52">
                  <c:v>8</c:v>
                </c:pt>
                <c:pt idx="53">
                  <c:v>18</c:v>
                </c:pt>
                <c:pt idx="54">
                  <c:v>28.622448979591837</c:v>
                </c:pt>
                <c:pt idx="55">
                  <c:v>5.3499952317354298</c:v>
                </c:pt>
                <c:pt idx="56">
                  <c:v>0.13083685717836047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6-4718-8276-C07662351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614591"/>
        <c:axId val="1468615551"/>
      </c:lineChart>
      <c:catAx>
        <c:axId val="1468614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15551"/>
        <c:crosses val="autoZero"/>
        <c:auto val="1"/>
        <c:lblAlgn val="ctr"/>
        <c:lblOffset val="100"/>
        <c:noMultiLvlLbl val="0"/>
      </c:catAx>
      <c:valAx>
        <c:axId val="146861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1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 salaries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employee_salary_dataset!$D$1</c:f>
              <c:strCache>
                <c:ptCount val="1"/>
                <c:pt idx="0">
                  <c:v>Experience_Years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employee_salary_dataset!$A$2:$C$58</c:f>
              <c:multiLvlStrCache>
                <c:ptCount val="57"/>
                <c:lvl>
                  <c:pt idx="0">
                    <c:v>Marketing</c:v>
                  </c:pt>
                  <c:pt idx="1">
                    <c:v>Operations</c:v>
                  </c:pt>
                  <c:pt idx="2">
                    <c:v>IT</c:v>
                  </c:pt>
                  <c:pt idx="3">
                    <c:v>Operations</c:v>
                  </c:pt>
                  <c:pt idx="4">
                    <c:v>Operations</c:v>
                  </c:pt>
                  <c:pt idx="5">
                    <c:v>Finance</c:v>
                  </c:pt>
                  <c:pt idx="6">
                    <c:v>IT</c:v>
                  </c:pt>
                  <c:pt idx="7">
                    <c:v>IT</c:v>
                  </c:pt>
                  <c:pt idx="8">
                    <c:v>IT</c:v>
                  </c:pt>
                  <c:pt idx="9">
                    <c:v>Operations</c:v>
                  </c:pt>
                  <c:pt idx="10">
                    <c:v>Marketing</c:v>
                  </c:pt>
                  <c:pt idx="11">
                    <c:v>IT</c:v>
                  </c:pt>
                  <c:pt idx="12">
                    <c:v>Operations</c:v>
                  </c:pt>
                  <c:pt idx="13">
                    <c:v>Finance</c:v>
                  </c:pt>
                  <c:pt idx="14">
                    <c:v>Marketing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Operations</c:v>
                  </c:pt>
                  <c:pt idx="18">
                    <c:v>HR</c:v>
                  </c:pt>
                  <c:pt idx="19">
                    <c:v>Marketing</c:v>
                  </c:pt>
                  <c:pt idx="20">
                    <c:v>Finance</c:v>
                  </c:pt>
                  <c:pt idx="21">
                    <c:v>Operations</c:v>
                  </c:pt>
                  <c:pt idx="22">
                    <c:v>Marketing</c:v>
                  </c:pt>
                  <c:pt idx="23">
                    <c:v>HR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IT</c:v>
                  </c:pt>
                  <c:pt idx="27">
                    <c:v>Finance</c:v>
                  </c:pt>
                  <c:pt idx="28">
                    <c:v>Marketing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Marketing</c:v>
                  </c:pt>
                  <c:pt idx="32">
                    <c:v>Marketing</c:v>
                  </c:pt>
                  <c:pt idx="33">
                    <c:v>HR</c:v>
                  </c:pt>
                  <c:pt idx="34">
                    <c:v>IT</c:v>
                  </c:pt>
                  <c:pt idx="35">
                    <c:v>Operations</c:v>
                  </c:pt>
                  <c:pt idx="36">
                    <c:v>IT</c:v>
                  </c:pt>
                  <c:pt idx="37">
                    <c:v>Operations</c:v>
                  </c:pt>
                  <c:pt idx="38">
                    <c:v>HR</c:v>
                  </c:pt>
                  <c:pt idx="39">
                    <c:v>Finance</c:v>
                  </c:pt>
                  <c:pt idx="40">
                    <c:v>Marketing</c:v>
                  </c:pt>
                  <c:pt idx="41">
                    <c:v>HR</c:v>
                  </c:pt>
                  <c:pt idx="42">
                    <c:v>Marketing</c:v>
                  </c:pt>
                  <c:pt idx="43">
                    <c:v>Finance</c:v>
                  </c:pt>
                  <c:pt idx="44">
                    <c:v>Finance</c:v>
                  </c:pt>
                  <c:pt idx="45">
                    <c:v>HR</c:v>
                  </c:pt>
                  <c:pt idx="46">
                    <c:v>Finance</c:v>
                  </c:pt>
                  <c:pt idx="47">
                    <c:v>Operations</c:v>
                  </c:pt>
                  <c:pt idx="48">
                    <c:v>Finance</c:v>
                  </c:pt>
                  <c:pt idx="49">
                    <c:v>Marketing</c:v>
                  </c:pt>
                </c:lvl>
                <c:lvl>
                  <c:pt idx="0">
                    <c:v>Employee_1</c:v>
                  </c:pt>
                  <c:pt idx="1">
                    <c:v>Employee_2</c:v>
                  </c:pt>
                  <c:pt idx="2">
                    <c:v>Employee_3</c:v>
                  </c:pt>
                  <c:pt idx="3">
                    <c:v>Employee_4</c:v>
                  </c:pt>
                  <c:pt idx="4">
                    <c:v>Employee_5</c:v>
                  </c:pt>
                  <c:pt idx="5">
                    <c:v>Employee_6</c:v>
                  </c:pt>
                  <c:pt idx="6">
                    <c:v>Employee_7</c:v>
                  </c:pt>
                  <c:pt idx="7">
                    <c:v>Employee_8</c:v>
                  </c:pt>
                  <c:pt idx="8">
                    <c:v>Employee_9</c:v>
                  </c:pt>
                  <c:pt idx="9">
                    <c:v>Employee_10</c:v>
                  </c:pt>
                  <c:pt idx="10">
                    <c:v>Employee_11</c:v>
                  </c:pt>
                  <c:pt idx="11">
                    <c:v>Employee_12</c:v>
                  </c:pt>
                  <c:pt idx="12">
                    <c:v>Employee_13</c:v>
                  </c:pt>
                  <c:pt idx="13">
                    <c:v>Employee_14</c:v>
                  </c:pt>
                  <c:pt idx="14">
                    <c:v>Employee_15</c:v>
                  </c:pt>
                  <c:pt idx="15">
                    <c:v>Employee_16</c:v>
                  </c:pt>
                  <c:pt idx="16">
                    <c:v>Employee_17</c:v>
                  </c:pt>
                  <c:pt idx="17">
                    <c:v>Employee_18</c:v>
                  </c:pt>
                  <c:pt idx="18">
                    <c:v>Employee_19</c:v>
                  </c:pt>
                  <c:pt idx="19">
                    <c:v>Employee_20</c:v>
                  </c:pt>
                  <c:pt idx="20">
                    <c:v>Employee_21</c:v>
                  </c:pt>
                  <c:pt idx="21">
                    <c:v>Employee_22</c:v>
                  </c:pt>
                  <c:pt idx="22">
                    <c:v>Employee_23</c:v>
                  </c:pt>
                  <c:pt idx="23">
                    <c:v>Employee_24</c:v>
                  </c:pt>
                  <c:pt idx="24">
                    <c:v>Employee_25</c:v>
                  </c:pt>
                  <c:pt idx="25">
                    <c:v>Employee_26</c:v>
                  </c:pt>
                  <c:pt idx="26">
                    <c:v>Employee_27</c:v>
                  </c:pt>
                  <c:pt idx="27">
                    <c:v>Employee_28</c:v>
                  </c:pt>
                  <c:pt idx="28">
                    <c:v>Employee_29</c:v>
                  </c:pt>
                  <c:pt idx="29">
                    <c:v>Employee_30</c:v>
                  </c:pt>
                  <c:pt idx="30">
                    <c:v>Employee_31</c:v>
                  </c:pt>
                  <c:pt idx="31">
                    <c:v>Employee_32</c:v>
                  </c:pt>
                  <c:pt idx="32">
                    <c:v>Employee_33</c:v>
                  </c:pt>
                  <c:pt idx="33">
                    <c:v>Employee_34</c:v>
                  </c:pt>
                  <c:pt idx="34">
                    <c:v>Employee_35</c:v>
                  </c:pt>
                  <c:pt idx="35">
                    <c:v>Employee_36</c:v>
                  </c:pt>
                  <c:pt idx="36">
                    <c:v>Employee_37</c:v>
                  </c:pt>
                  <c:pt idx="37">
                    <c:v>Employee_38</c:v>
                  </c:pt>
                  <c:pt idx="38">
                    <c:v>Employee_39</c:v>
                  </c:pt>
                  <c:pt idx="39">
                    <c:v>Employee_40</c:v>
                  </c:pt>
                  <c:pt idx="40">
                    <c:v>Employee_41</c:v>
                  </c:pt>
                  <c:pt idx="41">
                    <c:v>Employee_42</c:v>
                  </c:pt>
                  <c:pt idx="42">
                    <c:v>Employee_43</c:v>
                  </c:pt>
                  <c:pt idx="43">
                    <c:v>Employee_44</c:v>
                  </c:pt>
                  <c:pt idx="44">
                    <c:v>Employee_45</c:v>
                  </c:pt>
                  <c:pt idx="45">
                    <c:v>Employee_46</c:v>
                  </c:pt>
                  <c:pt idx="46">
                    <c:v>Employee_47</c:v>
                  </c:pt>
                  <c:pt idx="47">
                    <c:v>Employee_48</c:v>
                  </c:pt>
                  <c:pt idx="48">
                    <c:v>Employee_49</c:v>
                  </c:pt>
                  <c:pt idx="49">
                    <c:v>Employee_50</c:v>
                  </c:pt>
                  <c:pt idx="50">
                    <c:v>MEAN</c:v>
                  </c:pt>
                  <c:pt idx="51">
                    <c:v>MEDIAN</c:v>
                  </c:pt>
                  <c:pt idx="52">
                    <c:v>MODE</c:v>
                  </c:pt>
                  <c:pt idx="53">
                    <c:v>RANGE</c:v>
                  </c:pt>
                  <c:pt idx="54">
                    <c:v>VARIANCE</c:v>
                  </c:pt>
                  <c:pt idx="55">
                    <c:v>STANDARD DEVIATION</c:v>
                  </c:pt>
                  <c:pt idx="56">
                    <c:v>CORRELATION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</c:lvl>
              </c:multiLvlStrCache>
            </c:multiLvlStrRef>
          </c:xVal>
          <c:yVal>
            <c:numRef>
              <c:f>employee_salary_dataset!$D$2:$D$58</c:f>
              <c:numCache>
                <c:formatCode>General</c:formatCode>
                <c:ptCount val="57"/>
                <c:pt idx="0">
                  <c:v>15</c:v>
                </c:pt>
                <c:pt idx="1">
                  <c:v>7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3</c:v>
                </c:pt>
                <c:pt idx="6">
                  <c:v>14</c:v>
                </c:pt>
                <c:pt idx="7">
                  <c:v>17</c:v>
                </c:pt>
                <c:pt idx="8">
                  <c:v>4</c:v>
                </c:pt>
                <c:pt idx="9">
                  <c:v>18</c:v>
                </c:pt>
                <c:pt idx="10">
                  <c:v>8</c:v>
                </c:pt>
                <c:pt idx="11">
                  <c:v>4</c:v>
                </c:pt>
                <c:pt idx="12">
                  <c:v>2</c:v>
                </c:pt>
                <c:pt idx="13">
                  <c:v>6</c:v>
                </c:pt>
                <c:pt idx="14">
                  <c:v>10</c:v>
                </c:pt>
                <c:pt idx="15">
                  <c:v>4</c:v>
                </c:pt>
                <c:pt idx="16">
                  <c:v>18</c:v>
                </c:pt>
                <c:pt idx="17">
                  <c:v>12</c:v>
                </c:pt>
                <c:pt idx="18">
                  <c:v>2</c:v>
                </c:pt>
                <c:pt idx="19">
                  <c:v>10</c:v>
                </c:pt>
                <c:pt idx="20">
                  <c:v>4</c:v>
                </c:pt>
                <c:pt idx="21">
                  <c:v>14</c:v>
                </c:pt>
                <c:pt idx="22">
                  <c:v>16</c:v>
                </c:pt>
                <c:pt idx="23">
                  <c:v>15</c:v>
                </c:pt>
                <c:pt idx="24">
                  <c:v>8</c:v>
                </c:pt>
                <c:pt idx="25">
                  <c:v>14</c:v>
                </c:pt>
                <c:pt idx="26">
                  <c:v>8</c:v>
                </c:pt>
                <c:pt idx="27">
                  <c:v>16</c:v>
                </c:pt>
                <c:pt idx="28">
                  <c:v>13</c:v>
                </c:pt>
                <c:pt idx="29">
                  <c:v>18</c:v>
                </c:pt>
                <c:pt idx="30">
                  <c:v>15</c:v>
                </c:pt>
                <c:pt idx="31">
                  <c:v>13</c:v>
                </c:pt>
                <c:pt idx="32">
                  <c:v>9</c:v>
                </c:pt>
                <c:pt idx="33">
                  <c:v>15</c:v>
                </c:pt>
                <c:pt idx="34">
                  <c:v>13</c:v>
                </c:pt>
                <c:pt idx="35">
                  <c:v>1</c:v>
                </c:pt>
                <c:pt idx="36">
                  <c:v>7</c:v>
                </c:pt>
                <c:pt idx="37">
                  <c:v>9</c:v>
                </c:pt>
                <c:pt idx="38">
                  <c:v>1</c:v>
                </c:pt>
                <c:pt idx="39">
                  <c:v>12</c:v>
                </c:pt>
                <c:pt idx="40">
                  <c:v>8</c:v>
                </c:pt>
                <c:pt idx="41">
                  <c:v>11</c:v>
                </c:pt>
                <c:pt idx="42">
                  <c:v>19</c:v>
                </c:pt>
                <c:pt idx="43">
                  <c:v>17</c:v>
                </c:pt>
                <c:pt idx="44">
                  <c:v>8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5</c:v>
                </c:pt>
                <c:pt idx="49">
                  <c:v>10</c:v>
                </c:pt>
                <c:pt idx="50">
                  <c:v>9.9</c:v>
                </c:pt>
                <c:pt idx="51">
                  <c:v>10</c:v>
                </c:pt>
                <c:pt idx="52">
                  <c:v>8</c:v>
                </c:pt>
                <c:pt idx="53">
                  <c:v>18</c:v>
                </c:pt>
                <c:pt idx="54">
                  <c:v>28.622448979591837</c:v>
                </c:pt>
                <c:pt idx="55">
                  <c:v>5.3499952317354298</c:v>
                </c:pt>
                <c:pt idx="56">
                  <c:v>0.13083685717836047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67-4315-9DC8-D14E4BD01780}"/>
            </c:ext>
          </c:extLst>
        </c:ser>
        <c:ser>
          <c:idx val="1"/>
          <c:order val="1"/>
          <c:tx>
            <c:strRef>
              <c:f>employee_salary_dataset!$E$1</c:f>
              <c:strCache>
                <c:ptCount val="1"/>
                <c:pt idx="0">
                  <c:v>Education_Level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employee_salary_dataset!$A$2:$C$58</c:f>
              <c:multiLvlStrCache>
                <c:ptCount val="57"/>
                <c:lvl>
                  <c:pt idx="0">
                    <c:v>Marketing</c:v>
                  </c:pt>
                  <c:pt idx="1">
                    <c:v>Operations</c:v>
                  </c:pt>
                  <c:pt idx="2">
                    <c:v>IT</c:v>
                  </c:pt>
                  <c:pt idx="3">
                    <c:v>Operations</c:v>
                  </c:pt>
                  <c:pt idx="4">
                    <c:v>Operations</c:v>
                  </c:pt>
                  <c:pt idx="5">
                    <c:v>Finance</c:v>
                  </c:pt>
                  <c:pt idx="6">
                    <c:v>IT</c:v>
                  </c:pt>
                  <c:pt idx="7">
                    <c:v>IT</c:v>
                  </c:pt>
                  <c:pt idx="8">
                    <c:v>IT</c:v>
                  </c:pt>
                  <c:pt idx="9">
                    <c:v>Operations</c:v>
                  </c:pt>
                  <c:pt idx="10">
                    <c:v>Marketing</c:v>
                  </c:pt>
                  <c:pt idx="11">
                    <c:v>IT</c:v>
                  </c:pt>
                  <c:pt idx="12">
                    <c:v>Operations</c:v>
                  </c:pt>
                  <c:pt idx="13">
                    <c:v>Finance</c:v>
                  </c:pt>
                  <c:pt idx="14">
                    <c:v>Marketing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Operations</c:v>
                  </c:pt>
                  <c:pt idx="18">
                    <c:v>HR</c:v>
                  </c:pt>
                  <c:pt idx="19">
                    <c:v>Marketing</c:v>
                  </c:pt>
                  <c:pt idx="20">
                    <c:v>Finance</c:v>
                  </c:pt>
                  <c:pt idx="21">
                    <c:v>Operations</c:v>
                  </c:pt>
                  <c:pt idx="22">
                    <c:v>Marketing</c:v>
                  </c:pt>
                  <c:pt idx="23">
                    <c:v>HR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IT</c:v>
                  </c:pt>
                  <c:pt idx="27">
                    <c:v>Finance</c:v>
                  </c:pt>
                  <c:pt idx="28">
                    <c:v>Marketing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Marketing</c:v>
                  </c:pt>
                  <c:pt idx="32">
                    <c:v>Marketing</c:v>
                  </c:pt>
                  <c:pt idx="33">
                    <c:v>HR</c:v>
                  </c:pt>
                  <c:pt idx="34">
                    <c:v>IT</c:v>
                  </c:pt>
                  <c:pt idx="35">
                    <c:v>Operations</c:v>
                  </c:pt>
                  <c:pt idx="36">
                    <c:v>IT</c:v>
                  </c:pt>
                  <c:pt idx="37">
                    <c:v>Operations</c:v>
                  </c:pt>
                  <c:pt idx="38">
                    <c:v>HR</c:v>
                  </c:pt>
                  <c:pt idx="39">
                    <c:v>Finance</c:v>
                  </c:pt>
                  <c:pt idx="40">
                    <c:v>Marketing</c:v>
                  </c:pt>
                  <c:pt idx="41">
                    <c:v>HR</c:v>
                  </c:pt>
                  <c:pt idx="42">
                    <c:v>Marketing</c:v>
                  </c:pt>
                  <c:pt idx="43">
                    <c:v>Finance</c:v>
                  </c:pt>
                  <c:pt idx="44">
                    <c:v>Finance</c:v>
                  </c:pt>
                  <c:pt idx="45">
                    <c:v>HR</c:v>
                  </c:pt>
                  <c:pt idx="46">
                    <c:v>Finance</c:v>
                  </c:pt>
                  <c:pt idx="47">
                    <c:v>Operations</c:v>
                  </c:pt>
                  <c:pt idx="48">
                    <c:v>Finance</c:v>
                  </c:pt>
                  <c:pt idx="49">
                    <c:v>Marketing</c:v>
                  </c:pt>
                </c:lvl>
                <c:lvl>
                  <c:pt idx="0">
                    <c:v>Employee_1</c:v>
                  </c:pt>
                  <c:pt idx="1">
                    <c:v>Employee_2</c:v>
                  </c:pt>
                  <c:pt idx="2">
                    <c:v>Employee_3</c:v>
                  </c:pt>
                  <c:pt idx="3">
                    <c:v>Employee_4</c:v>
                  </c:pt>
                  <c:pt idx="4">
                    <c:v>Employee_5</c:v>
                  </c:pt>
                  <c:pt idx="5">
                    <c:v>Employee_6</c:v>
                  </c:pt>
                  <c:pt idx="6">
                    <c:v>Employee_7</c:v>
                  </c:pt>
                  <c:pt idx="7">
                    <c:v>Employee_8</c:v>
                  </c:pt>
                  <c:pt idx="8">
                    <c:v>Employee_9</c:v>
                  </c:pt>
                  <c:pt idx="9">
                    <c:v>Employee_10</c:v>
                  </c:pt>
                  <c:pt idx="10">
                    <c:v>Employee_11</c:v>
                  </c:pt>
                  <c:pt idx="11">
                    <c:v>Employee_12</c:v>
                  </c:pt>
                  <c:pt idx="12">
                    <c:v>Employee_13</c:v>
                  </c:pt>
                  <c:pt idx="13">
                    <c:v>Employee_14</c:v>
                  </c:pt>
                  <c:pt idx="14">
                    <c:v>Employee_15</c:v>
                  </c:pt>
                  <c:pt idx="15">
                    <c:v>Employee_16</c:v>
                  </c:pt>
                  <c:pt idx="16">
                    <c:v>Employee_17</c:v>
                  </c:pt>
                  <c:pt idx="17">
                    <c:v>Employee_18</c:v>
                  </c:pt>
                  <c:pt idx="18">
                    <c:v>Employee_19</c:v>
                  </c:pt>
                  <c:pt idx="19">
                    <c:v>Employee_20</c:v>
                  </c:pt>
                  <c:pt idx="20">
                    <c:v>Employee_21</c:v>
                  </c:pt>
                  <c:pt idx="21">
                    <c:v>Employee_22</c:v>
                  </c:pt>
                  <c:pt idx="22">
                    <c:v>Employee_23</c:v>
                  </c:pt>
                  <c:pt idx="23">
                    <c:v>Employee_24</c:v>
                  </c:pt>
                  <c:pt idx="24">
                    <c:v>Employee_25</c:v>
                  </c:pt>
                  <c:pt idx="25">
                    <c:v>Employee_26</c:v>
                  </c:pt>
                  <c:pt idx="26">
                    <c:v>Employee_27</c:v>
                  </c:pt>
                  <c:pt idx="27">
                    <c:v>Employee_28</c:v>
                  </c:pt>
                  <c:pt idx="28">
                    <c:v>Employee_29</c:v>
                  </c:pt>
                  <c:pt idx="29">
                    <c:v>Employee_30</c:v>
                  </c:pt>
                  <c:pt idx="30">
                    <c:v>Employee_31</c:v>
                  </c:pt>
                  <c:pt idx="31">
                    <c:v>Employee_32</c:v>
                  </c:pt>
                  <c:pt idx="32">
                    <c:v>Employee_33</c:v>
                  </c:pt>
                  <c:pt idx="33">
                    <c:v>Employee_34</c:v>
                  </c:pt>
                  <c:pt idx="34">
                    <c:v>Employee_35</c:v>
                  </c:pt>
                  <c:pt idx="35">
                    <c:v>Employee_36</c:v>
                  </c:pt>
                  <c:pt idx="36">
                    <c:v>Employee_37</c:v>
                  </c:pt>
                  <c:pt idx="37">
                    <c:v>Employee_38</c:v>
                  </c:pt>
                  <c:pt idx="38">
                    <c:v>Employee_39</c:v>
                  </c:pt>
                  <c:pt idx="39">
                    <c:v>Employee_40</c:v>
                  </c:pt>
                  <c:pt idx="40">
                    <c:v>Employee_41</c:v>
                  </c:pt>
                  <c:pt idx="41">
                    <c:v>Employee_42</c:v>
                  </c:pt>
                  <c:pt idx="42">
                    <c:v>Employee_43</c:v>
                  </c:pt>
                  <c:pt idx="43">
                    <c:v>Employee_44</c:v>
                  </c:pt>
                  <c:pt idx="44">
                    <c:v>Employee_45</c:v>
                  </c:pt>
                  <c:pt idx="45">
                    <c:v>Employee_46</c:v>
                  </c:pt>
                  <c:pt idx="46">
                    <c:v>Employee_47</c:v>
                  </c:pt>
                  <c:pt idx="47">
                    <c:v>Employee_48</c:v>
                  </c:pt>
                  <c:pt idx="48">
                    <c:v>Employee_49</c:v>
                  </c:pt>
                  <c:pt idx="49">
                    <c:v>Employee_50</c:v>
                  </c:pt>
                  <c:pt idx="50">
                    <c:v>MEAN</c:v>
                  </c:pt>
                  <c:pt idx="51">
                    <c:v>MEDIAN</c:v>
                  </c:pt>
                  <c:pt idx="52">
                    <c:v>MODE</c:v>
                  </c:pt>
                  <c:pt idx="53">
                    <c:v>RANGE</c:v>
                  </c:pt>
                  <c:pt idx="54">
                    <c:v>VARIANCE</c:v>
                  </c:pt>
                  <c:pt idx="55">
                    <c:v>STANDARD DEVIATION</c:v>
                  </c:pt>
                  <c:pt idx="56">
                    <c:v>CORRELATION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</c:lvl>
              </c:multiLvlStrCache>
            </c:multiLvlStrRef>
          </c:xVal>
          <c:yVal>
            <c:numRef>
              <c:f>employee_salary_dataset!$E$2:$E$58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67-4315-9DC8-D14E4BD01780}"/>
            </c:ext>
          </c:extLst>
        </c:ser>
        <c:ser>
          <c:idx val="2"/>
          <c:order val="2"/>
          <c:tx>
            <c:strRef>
              <c:f>employee_salary_dataset!$F$1</c:f>
              <c:strCache>
                <c:ptCount val="1"/>
                <c:pt idx="0">
                  <c:v>Age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employee_salary_dataset!$A$2:$C$58</c:f>
              <c:multiLvlStrCache>
                <c:ptCount val="57"/>
                <c:lvl>
                  <c:pt idx="0">
                    <c:v>Marketing</c:v>
                  </c:pt>
                  <c:pt idx="1">
                    <c:v>Operations</c:v>
                  </c:pt>
                  <c:pt idx="2">
                    <c:v>IT</c:v>
                  </c:pt>
                  <c:pt idx="3">
                    <c:v>Operations</c:v>
                  </c:pt>
                  <c:pt idx="4">
                    <c:v>Operations</c:v>
                  </c:pt>
                  <c:pt idx="5">
                    <c:v>Finance</c:v>
                  </c:pt>
                  <c:pt idx="6">
                    <c:v>IT</c:v>
                  </c:pt>
                  <c:pt idx="7">
                    <c:v>IT</c:v>
                  </c:pt>
                  <c:pt idx="8">
                    <c:v>IT</c:v>
                  </c:pt>
                  <c:pt idx="9">
                    <c:v>Operations</c:v>
                  </c:pt>
                  <c:pt idx="10">
                    <c:v>Marketing</c:v>
                  </c:pt>
                  <c:pt idx="11">
                    <c:v>IT</c:v>
                  </c:pt>
                  <c:pt idx="12">
                    <c:v>Operations</c:v>
                  </c:pt>
                  <c:pt idx="13">
                    <c:v>Finance</c:v>
                  </c:pt>
                  <c:pt idx="14">
                    <c:v>Marketing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Operations</c:v>
                  </c:pt>
                  <c:pt idx="18">
                    <c:v>HR</c:v>
                  </c:pt>
                  <c:pt idx="19">
                    <c:v>Marketing</c:v>
                  </c:pt>
                  <c:pt idx="20">
                    <c:v>Finance</c:v>
                  </c:pt>
                  <c:pt idx="21">
                    <c:v>Operations</c:v>
                  </c:pt>
                  <c:pt idx="22">
                    <c:v>Marketing</c:v>
                  </c:pt>
                  <c:pt idx="23">
                    <c:v>HR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IT</c:v>
                  </c:pt>
                  <c:pt idx="27">
                    <c:v>Finance</c:v>
                  </c:pt>
                  <c:pt idx="28">
                    <c:v>Marketing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Marketing</c:v>
                  </c:pt>
                  <c:pt idx="32">
                    <c:v>Marketing</c:v>
                  </c:pt>
                  <c:pt idx="33">
                    <c:v>HR</c:v>
                  </c:pt>
                  <c:pt idx="34">
                    <c:v>IT</c:v>
                  </c:pt>
                  <c:pt idx="35">
                    <c:v>Operations</c:v>
                  </c:pt>
                  <c:pt idx="36">
                    <c:v>IT</c:v>
                  </c:pt>
                  <c:pt idx="37">
                    <c:v>Operations</c:v>
                  </c:pt>
                  <c:pt idx="38">
                    <c:v>HR</c:v>
                  </c:pt>
                  <c:pt idx="39">
                    <c:v>Finance</c:v>
                  </c:pt>
                  <c:pt idx="40">
                    <c:v>Marketing</c:v>
                  </c:pt>
                  <c:pt idx="41">
                    <c:v>HR</c:v>
                  </c:pt>
                  <c:pt idx="42">
                    <c:v>Marketing</c:v>
                  </c:pt>
                  <c:pt idx="43">
                    <c:v>Finance</c:v>
                  </c:pt>
                  <c:pt idx="44">
                    <c:v>Finance</c:v>
                  </c:pt>
                  <c:pt idx="45">
                    <c:v>HR</c:v>
                  </c:pt>
                  <c:pt idx="46">
                    <c:v>Finance</c:v>
                  </c:pt>
                  <c:pt idx="47">
                    <c:v>Operations</c:v>
                  </c:pt>
                  <c:pt idx="48">
                    <c:v>Finance</c:v>
                  </c:pt>
                  <c:pt idx="49">
                    <c:v>Marketing</c:v>
                  </c:pt>
                </c:lvl>
                <c:lvl>
                  <c:pt idx="0">
                    <c:v>Employee_1</c:v>
                  </c:pt>
                  <c:pt idx="1">
                    <c:v>Employee_2</c:v>
                  </c:pt>
                  <c:pt idx="2">
                    <c:v>Employee_3</c:v>
                  </c:pt>
                  <c:pt idx="3">
                    <c:v>Employee_4</c:v>
                  </c:pt>
                  <c:pt idx="4">
                    <c:v>Employee_5</c:v>
                  </c:pt>
                  <c:pt idx="5">
                    <c:v>Employee_6</c:v>
                  </c:pt>
                  <c:pt idx="6">
                    <c:v>Employee_7</c:v>
                  </c:pt>
                  <c:pt idx="7">
                    <c:v>Employee_8</c:v>
                  </c:pt>
                  <c:pt idx="8">
                    <c:v>Employee_9</c:v>
                  </c:pt>
                  <c:pt idx="9">
                    <c:v>Employee_10</c:v>
                  </c:pt>
                  <c:pt idx="10">
                    <c:v>Employee_11</c:v>
                  </c:pt>
                  <c:pt idx="11">
                    <c:v>Employee_12</c:v>
                  </c:pt>
                  <c:pt idx="12">
                    <c:v>Employee_13</c:v>
                  </c:pt>
                  <c:pt idx="13">
                    <c:v>Employee_14</c:v>
                  </c:pt>
                  <c:pt idx="14">
                    <c:v>Employee_15</c:v>
                  </c:pt>
                  <c:pt idx="15">
                    <c:v>Employee_16</c:v>
                  </c:pt>
                  <c:pt idx="16">
                    <c:v>Employee_17</c:v>
                  </c:pt>
                  <c:pt idx="17">
                    <c:v>Employee_18</c:v>
                  </c:pt>
                  <c:pt idx="18">
                    <c:v>Employee_19</c:v>
                  </c:pt>
                  <c:pt idx="19">
                    <c:v>Employee_20</c:v>
                  </c:pt>
                  <c:pt idx="20">
                    <c:v>Employee_21</c:v>
                  </c:pt>
                  <c:pt idx="21">
                    <c:v>Employee_22</c:v>
                  </c:pt>
                  <c:pt idx="22">
                    <c:v>Employee_23</c:v>
                  </c:pt>
                  <c:pt idx="23">
                    <c:v>Employee_24</c:v>
                  </c:pt>
                  <c:pt idx="24">
                    <c:v>Employee_25</c:v>
                  </c:pt>
                  <c:pt idx="25">
                    <c:v>Employee_26</c:v>
                  </c:pt>
                  <c:pt idx="26">
                    <c:v>Employee_27</c:v>
                  </c:pt>
                  <c:pt idx="27">
                    <c:v>Employee_28</c:v>
                  </c:pt>
                  <c:pt idx="28">
                    <c:v>Employee_29</c:v>
                  </c:pt>
                  <c:pt idx="29">
                    <c:v>Employee_30</c:v>
                  </c:pt>
                  <c:pt idx="30">
                    <c:v>Employee_31</c:v>
                  </c:pt>
                  <c:pt idx="31">
                    <c:v>Employee_32</c:v>
                  </c:pt>
                  <c:pt idx="32">
                    <c:v>Employee_33</c:v>
                  </c:pt>
                  <c:pt idx="33">
                    <c:v>Employee_34</c:v>
                  </c:pt>
                  <c:pt idx="34">
                    <c:v>Employee_35</c:v>
                  </c:pt>
                  <c:pt idx="35">
                    <c:v>Employee_36</c:v>
                  </c:pt>
                  <c:pt idx="36">
                    <c:v>Employee_37</c:v>
                  </c:pt>
                  <c:pt idx="37">
                    <c:v>Employee_38</c:v>
                  </c:pt>
                  <c:pt idx="38">
                    <c:v>Employee_39</c:v>
                  </c:pt>
                  <c:pt idx="39">
                    <c:v>Employee_40</c:v>
                  </c:pt>
                  <c:pt idx="40">
                    <c:v>Employee_41</c:v>
                  </c:pt>
                  <c:pt idx="41">
                    <c:v>Employee_42</c:v>
                  </c:pt>
                  <c:pt idx="42">
                    <c:v>Employee_43</c:v>
                  </c:pt>
                  <c:pt idx="43">
                    <c:v>Employee_44</c:v>
                  </c:pt>
                  <c:pt idx="44">
                    <c:v>Employee_45</c:v>
                  </c:pt>
                  <c:pt idx="45">
                    <c:v>Employee_46</c:v>
                  </c:pt>
                  <c:pt idx="46">
                    <c:v>Employee_47</c:v>
                  </c:pt>
                  <c:pt idx="47">
                    <c:v>Employee_48</c:v>
                  </c:pt>
                  <c:pt idx="48">
                    <c:v>Employee_49</c:v>
                  </c:pt>
                  <c:pt idx="49">
                    <c:v>Employee_50</c:v>
                  </c:pt>
                  <c:pt idx="50">
                    <c:v>MEAN</c:v>
                  </c:pt>
                  <c:pt idx="51">
                    <c:v>MEDIAN</c:v>
                  </c:pt>
                  <c:pt idx="52">
                    <c:v>MODE</c:v>
                  </c:pt>
                  <c:pt idx="53">
                    <c:v>RANGE</c:v>
                  </c:pt>
                  <c:pt idx="54">
                    <c:v>VARIANCE</c:v>
                  </c:pt>
                  <c:pt idx="55">
                    <c:v>STANDARD DEVIATION</c:v>
                  </c:pt>
                  <c:pt idx="56">
                    <c:v>CORRELATION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</c:lvl>
              </c:multiLvlStrCache>
            </c:multiLvlStrRef>
          </c:xVal>
          <c:yVal>
            <c:numRef>
              <c:f>employee_salary_dataset!$F$2:$F$58</c:f>
              <c:numCache>
                <c:formatCode>General</c:formatCode>
                <c:ptCount val="57"/>
                <c:pt idx="0">
                  <c:v>53</c:v>
                </c:pt>
                <c:pt idx="1">
                  <c:v>25</c:v>
                </c:pt>
                <c:pt idx="2">
                  <c:v>51</c:v>
                </c:pt>
                <c:pt idx="3">
                  <c:v>44</c:v>
                </c:pt>
                <c:pt idx="4">
                  <c:v>36</c:v>
                </c:pt>
                <c:pt idx="5">
                  <c:v>50</c:v>
                </c:pt>
                <c:pt idx="6">
                  <c:v>57</c:v>
                </c:pt>
                <c:pt idx="7">
                  <c:v>34</c:v>
                </c:pt>
                <c:pt idx="8">
                  <c:v>53</c:v>
                </c:pt>
                <c:pt idx="9">
                  <c:v>28</c:v>
                </c:pt>
                <c:pt idx="10">
                  <c:v>43</c:v>
                </c:pt>
                <c:pt idx="11">
                  <c:v>49</c:v>
                </c:pt>
                <c:pt idx="12">
                  <c:v>23</c:v>
                </c:pt>
                <c:pt idx="13">
                  <c:v>27</c:v>
                </c:pt>
                <c:pt idx="14">
                  <c:v>49</c:v>
                </c:pt>
                <c:pt idx="15">
                  <c:v>49</c:v>
                </c:pt>
                <c:pt idx="16">
                  <c:v>41</c:v>
                </c:pt>
                <c:pt idx="17">
                  <c:v>51</c:v>
                </c:pt>
                <c:pt idx="18">
                  <c:v>32</c:v>
                </c:pt>
                <c:pt idx="19">
                  <c:v>49</c:v>
                </c:pt>
                <c:pt idx="20">
                  <c:v>46</c:v>
                </c:pt>
                <c:pt idx="21">
                  <c:v>54</c:v>
                </c:pt>
                <c:pt idx="22">
                  <c:v>22</c:v>
                </c:pt>
                <c:pt idx="23">
                  <c:v>48</c:v>
                </c:pt>
                <c:pt idx="24">
                  <c:v>34</c:v>
                </c:pt>
                <c:pt idx="25">
                  <c:v>24</c:v>
                </c:pt>
                <c:pt idx="26">
                  <c:v>27</c:v>
                </c:pt>
                <c:pt idx="27">
                  <c:v>29</c:v>
                </c:pt>
                <c:pt idx="28">
                  <c:v>48</c:v>
                </c:pt>
                <c:pt idx="29">
                  <c:v>30</c:v>
                </c:pt>
                <c:pt idx="30">
                  <c:v>54</c:v>
                </c:pt>
                <c:pt idx="31">
                  <c:v>45</c:v>
                </c:pt>
                <c:pt idx="32">
                  <c:v>36</c:v>
                </c:pt>
                <c:pt idx="33">
                  <c:v>53</c:v>
                </c:pt>
                <c:pt idx="34">
                  <c:v>53</c:v>
                </c:pt>
                <c:pt idx="35">
                  <c:v>45</c:v>
                </c:pt>
                <c:pt idx="36">
                  <c:v>33</c:v>
                </c:pt>
                <c:pt idx="37">
                  <c:v>23</c:v>
                </c:pt>
                <c:pt idx="38">
                  <c:v>24</c:v>
                </c:pt>
                <c:pt idx="39">
                  <c:v>38</c:v>
                </c:pt>
                <c:pt idx="40">
                  <c:v>23</c:v>
                </c:pt>
                <c:pt idx="41">
                  <c:v>23</c:v>
                </c:pt>
                <c:pt idx="42">
                  <c:v>49</c:v>
                </c:pt>
                <c:pt idx="43">
                  <c:v>44</c:v>
                </c:pt>
                <c:pt idx="44">
                  <c:v>53</c:v>
                </c:pt>
                <c:pt idx="45">
                  <c:v>54</c:v>
                </c:pt>
                <c:pt idx="46">
                  <c:v>22</c:v>
                </c:pt>
                <c:pt idx="47">
                  <c:v>40</c:v>
                </c:pt>
                <c:pt idx="48">
                  <c:v>23</c:v>
                </c:pt>
                <c:pt idx="49">
                  <c:v>47</c:v>
                </c:pt>
                <c:pt idx="50">
                  <c:v>39.76</c:v>
                </c:pt>
                <c:pt idx="51">
                  <c:v>43.5</c:v>
                </c:pt>
                <c:pt idx="52">
                  <c:v>53</c:v>
                </c:pt>
                <c:pt idx="53">
                  <c:v>35</c:v>
                </c:pt>
                <c:pt idx="54">
                  <c:v>133.16571428571419</c:v>
                </c:pt>
                <c:pt idx="55">
                  <c:v>11.539744983565026</c:v>
                </c:pt>
                <c:pt idx="56">
                  <c:v>0.13083685717836047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67-4315-9DC8-D14E4BD01780}"/>
            </c:ext>
          </c:extLst>
        </c:ser>
        <c:ser>
          <c:idx val="3"/>
          <c:order val="3"/>
          <c:tx>
            <c:strRef>
              <c:f>employee_salary_dataset!$G$1</c:f>
              <c:strCache>
                <c:ptCount val="1"/>
                <c:pt idx="0">
                  <c:v>Gender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employee_salary_dataset!$A$2:$C$58</c:f>
              <c:multiLvlStrCache>
                <c:ptCount val="57"/>
                <c:lvl>
                  <c:pt idx="0">
                    <c:v>Marketing</c:v>
                  </c:pt>
                  <c:pt idx="1">
                    <c:v>Operations</c:v>
                  </c:pt>
                  <c:pt idx="2">
                    <c:v>IT</c:v>
                  </c:pt>
                  <c:pt idx="3">
                    <c:v>Operations</c:v>
                  </c:pt>
                  <c:pt idx="4">
                    <c:v>Operations</c:v>
                  </c:pt>
                  <c:pt idx="5">
                    <c:v>Finance</c:v>
                  </c:pt>
                  <c:pt idx="6">
                    <c:v>IT</c:v>
                  </c:pt>
                  <c:pt idx="7">
                    <c:v>IT</c:v>
                  </c:pt>
                  <c:pt idx="8">
                    <c:v>IT</c:v>
                  </c:pt>
                  <c:pt idx="9">
                    <c:v>Operations</c:v>
                  </c:pt>
                  <c:pt idx="10">
                    <c:v>Marketing</c:v>
                  </c:pt>
                  <c:pt idx="11">
                    <c:v>IT</c:v>
                  </c:pt>
                  <c:pt idx="12">
                    <c:v>Operations</c:v>
                  </c:pt>
                  <c:pt idx="13">
                    <c:v>Finance</c:v>
                  </c:pt>
                  <c:pt idx="14">
                    <c:v>Marketing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Operations</c:v>
                  </c:pt>
                  <c:pt idx="18">
                    <c:v>HR</c:v>
                  </c:pt>
                  <c:pt idx="19">
                    <c:v>Marketing</c:v>
                  </c:pt>
                  <c:pt idx="20">
                    <c:v>Finance</c:v>
                  </c:pt>
                  <c:pt idx="21">
                    <c:v>Operations</c:v>
                  </c:pt>
                  <c:pt idx="22">
                    <c:v>Marketing</c:v>
                  </c:pt>
                  <c:pt idx="23">
                    <c:v>HR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IT</c:v>
                  </c:pt>
                  <c:pt idx="27">
                    <c:v>Finance</c:v>
                  </c:pt>
                  <c:pt idx="28">
                    <c:v>Marketing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Marketing</c:v>
                  </c:pt>
                  <c:pt idx="32">
                    <c:v>Marketing</c:v>
                  </c:pt>
                  <c:pt idx="33">
                    <c:v>HR</c:v>
                  </c:pt>
                  <c:pt idx="34">
                    <c:v>IT</c:v>
                  </c:pt>
                  <c:pt idx="35">
                    <c:v>Operations</c:v>
                  </c:pt>
                  <c:pt idx="36">
                    <c:v>IT</c:v>
                  </c:pt>
                  <c:pt idx="37">
                    <c:v>Operations</c:v>
                  </c:pt>
                  <c:pt idx="38">
                    <c:v>HR</c:v>
                  </c:pt>
                  <c:pt idx="39">
                    <c:v>Finance</c:v>
                  </c:pt>
                  <c:pt idx="40">
                    <c:v>Marketing</c:v>
                  </c:pt>
                  <c:pt idx="41">
                    <c:v>HR</c:v>
                  </c:pt>
                  <c:pt idx="42">
                    <c:v>Marketing</c:v>
                  </c:pt>
                  <c:pt idx="43">
                    <c:v>Finance</c:v>
                  </c:pt>
                  <c:pt idx="44">
                    <c:v>Finance</c:v>
                  </c:pt>
                  <c:pt idx="45">
                    <c:v>HR</c:v>
                  </c:pt>
                  <c:pt idx="46">
                    <c:v>Finance</c:v>
                  </c:pt>
                  <c:pt idx="47">
                    <c:v>Operations</c:v>
                  </c:pt>
                  <c:pt idx="48">
                    <c:v>Finance</c:v>
                  </c:pt>
                  <c:pt idx="49">
                    <c:v>Marketing</c:v>
                  </c:pt>
                </c:lvl>
                <c:lvl>
                  <c:pt idx="0">
                    <c:v>Employee_1</c:v>
                  </c:pt>
                  <c:pt idx="1">
                    <c:v>Employee_2</c:v>
                  </c:pt>
                  <c:pt idx="2">
                    <c:v>Employee_3</c:v>
                  </c:pt>
                  <c:pt idx="3">
                    <c:v>Employee_4</c:v>
                  </c:pt>
                  <c:pt idx="4">
                    <c:v>Employee_5</c:v>
                  </c:pt>
                  <c:pt idx="5">
                    <c:v>Employee_6</c:v>
                  </c:pt>
                  <c:pt idx="6">
                    <c:v>Employee_7</c:v>
                  </c:pt>
                  <c:pt idx="7">
                    <c:v>Employee_8</c:v>
                  </c:pt>
                  <c:pt idx="8">
                    <c:v>Employee_9</c:v>
                  </c:pt>
                  <c:pt idx="9">
                    <c:v>Employee_10</c:v>
                  </c:pt>
                  <c:pt idx="10">
                    <c:v>Employee_11</c:v>
                  </c:pt>
                  <c:pt idx="11">
                    <c:v>Employee_12</c:v>
                  </c:pt>
                  <c:pt idx="12">
                    <c:v>Employee_13</c:v>
                  </c:pt>
                  <c:pt idx="13">
                    <c:v>Employee_14</c:v>
                  </c:pt>
                  <c:pt idx="14">
                    <c:v>Employee_15</c:v>
                  </c:pt>
                  <c:pt idx="15">
                    <c:v>Employee_16</c:v>
                  </c:pt>
                  <c:pt idx="16">
                    <c:v>Employee_17</c:v>
                  </c:pt>
                  <c:pt idx="17">
                    <c:v>Employee_18</c:v>
                  </c:pt>
                  <c:pt idx="18">
                    <c:v>Employee_19</c:v>
                  </c:pt>
                  <c:pt idx="19">
                    <c:v>Employee_20</c:v>
                  </c:pt>
                  <c:pt idx="20">
                    <c:v>Employee_21</c:v>
                  </c:pt>
                  <c:pt idx="21">
                    <c:v>Employee_22</c:v>
                  </c:pt>
                  <c:pt idx="22">
                    <c:v>Employee_23</c:v>
                  </c:pt>
                  <c:pt idx="23">
                    <c:v>Employee_24</c:v>
                  </c:pt>
                  <c:pt idx="24">
                    <c:v>Employee_25</c:v>
                  </c:pt>
                  <c:pt idx="25">
                    <c:v>Employee_26</c:v>
                  </c:pt>
                  <c:pt idx="26">
                    <c:v>Employee_27</c:v>
                  </c:pt>
                  <c:pt idx="27">
                    <c:v>Employee_28</c:v>
                  </c:pt>
                  <c:pt idx="28">
                    <c:v>Employee_29</c:v>
                  </c:pt>
                  <c:pt idx="29">
                    <c:v>Employee_30</c:v>
                  </c:pt>
                  <c:pt idx="30">
                    <c:v>Employee_31</c:v>
                  </c:pt>
                  <c:pt idx="31">
                    <c:v>Employee_32</c:v>
                  </c:pt>
                  <c:pt idx="32">
                    <c:v>Employee_33</c:v>
                  </c:pt>
                  <c:pt idx="33">
                    <c:v>Employee_34</c:v>
                  </c:pt>
                  <c:pt idx="34">
                    <c:v>Employee_35</c:v>
                  </c:pt>
                  <c:pt idx="35">
                    <c:v>Employee_36</c:v>
                  </c:pt>
                  <c:pt idx="36">
                    <c:v>Employee_37</c:v>
                  </c:pt>
                  <c:pt idx="37">
                    <c:v>Employee_38</c:v>
                  </c:pt>
                  <c:pt idx="38">
                    <c:v>Employee_39</c:v>
                  </c:pt>
                  <c:pt idx="39">
                    <c:v>Employee_40</c:v>
                  </c:pt>
                  <c:pt idx="40">
                    <c:v>Employee_41</c:v>
                  </c:pt>
                  <c:pt idx="41">
                    <c:v>Employee_42</c:v>
                  </c:pt>
                  <c:pt idx="42">
                    <c:v>Employee_43</c:v>
                  </c:pt>
                  <c:pt idx="43">
                    <c:v>Employee_44</c:v>
                  </c:pt>
                  <c:pt idx="44">
                    <c:v>Employee_45</c:v>
                  </c:pt>
                  <c:pt idx="45">
                    <c:v>Employee_46</c:v>
                  </c:pt>
                  <c:pt idx="46">
                    <c:v>Employee_47</c:v>
                  </c:pt>
                  <c:pt idx="47">
                    <c:v>Employee_48</c:v>
                  </c:pt>
                  <c:pt idx="48">
                    <c:v>Employee_49</c:v>
                  </c:pt>
                  <c:pt idx="49">
                    <c:v>Employee_50</c:v>
                  </c:pt>
                  <c:pt idx="50">
                    <c:v>MEAN</c:v>
                  </c:pt>
                  <c:pt idx="51">
                    <c:v>MEDIAN</c:v>
                  </c:pt>
                  <c:pt idx="52">
                    <c:v>MODE</c:v>
                  </c:pt>
                  <c:pt idx="53">
                    <c:v>RANGE</c:v>
                  </c:pt>
                  <c:pt idx="54">
                    <c:v>VARIANCE</c:v>
                  </c:pt>
                  <c:pt idx="55">
                    <c:v>STANDARD DEVIATION</c:v>
                  </c:pt>
                  <c:pt idx="56">
                    <c:v>CORRELATION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</c:lvl>
              </c:multiLvlStrCache>
            </c:multiLvlStrRef>
          </c:xVal>
          <c:yVal>
            <c:numRef>
              <c:f>employee_salary_dataset!$G$2:$G$58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67-4315-9DC8-D14E4BD01780}"/>
            </c:ext>
          </c:extLst>
        </c:ser>
        <c:ser>
          <c:idx val="4"/>
          <c:order val="4"/>
          <c:tx>
            <c:strRef>
              <c:f>employee_salary_dataset!$H$1</c:f>
              <c:strCache>
                <c:ptCount val="1"/>
                <c:pt idx="0">
                  <c:v>City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employee_salary_dataset!$A$2:$C$58</c:f>
              <c:multiLvlStrCache>
                <c:ptCount val="57"/>
                <c:lvl>
                  <c:pt idx="0">
                    <c:v>Marketing</c:v>
                  </c:pt>
                  <c:pt idx="1">
                    <c:v>Operations</c:v>
                  </c:pt>
                  <c:pt idx="2">
                    <c:v>IT</c:v>
                  </c:pt>
                  <c:pt idx="3">
                    <c:v>Operations</c:v>
                  </c:pt>
                  <c:pt idx="4">
                    <c:v>Operations</c:v>
                  </c:pt>
                  <c:pt idx="5">
                    <c:v>Finance</c:v>
                  </c:pt>
                  <c:pt idx="6">
                    <c:v>IT</c:v>
                  </c:pt>
                  <c:pt idx="7">
                    <c:v>IT</c:v>
                  </c:pt>
                  <c:pt idx="8">
                    <c:v>IT</c:v>
                  </c:pt>
                  <c:pt idx="9">
                    <c:v>Operations</c:v>
                  </c:pt>
                  <c:pt idx="10">
                    <c:v>Marketing</c:v>
                  </c:pt>
                  <c:pt idx="11">
                    <c:v>IT</c:v>
                  </c:pt>
                  <c:pt idx="12">
                    <c:v>Operations</c:v>
                  </c:pt>
                  <c:pt idx="13">
                    <c:v>Finance</c:v>
                  </c:pt>
                  <c:pt idx="14">
                    <c:v>Marketing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Operations</c:v>
                  </c:pt>
                  <c:pt idx="18">
                    <c:v>HR</c:v>
                  </c:pt>
                  <c:pt idx="19">
                    <c:v>Marketing</c:v>
                  </c:pt>
                  <c:pt idx="20">
                    <c:v>Finance</c:v>
                  </c:pt>
                  <c:pt idx="21">
                    <c:v>Operations</c:v>
                  </c:pt>
                  <c:pt idx="22">
                    <c:v>Marketing</c:v>
                  </c:pt>
                  <c:pt idx="23">
                    <c:v>HR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IT</c:v>
                  </c:pt>
                  <c:pt idx="27">
                    <c:v>Finance</c:v>
                  </c:pt>
                  <c:pt idx="28">
                    <c:v>Marketing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Marketing</c:v>
                  </c:pt>
                  <c:pt idx="32">
                    <c:v>Marketing</c:v>
                  </c:pt>
                  <c:pt idx="33">
                    <c:v>HR</c:v>
                  </c:pt>
                  <c:pt idx="34">
                    <c:v>IT</c:v>
                  </c:pt>
                  <c:pt idx="35">
                    <c:v>Operations</c:v>
                  </c:pt>
                  <c:pt idx="36">
                    <c:v>IT</c:v>
                  </c:pt>
                  <c:pt idx="37">
                    <c:v>Operations</c:v>
                  </c:pt>
                  <c:pt idx="38">
                    <c:v>HR</c:v>
                  </c:pt>
                  <c:pt idx="39">
                    <c:v>Finance</c:v>
                  </c:pt>
                  <c:pt idx="40">
                    <c:v>Marketing</c:v>
                  </c:pt>
                  <c:pt idx="41">
                    <c:v>HR</c:v>
                  </c:pt>
                  <c:pt idx="42">
                    <c:v>Marketing</c:v>
                  </c:pt>
                  <c:pt idx="43">
                    <c:v>Finance</c:v>
                  </c:pt>
                  <c:pt idx="44">
                    <c:v>Finance</c:v>
                  </c:pt>
                  <c:pt idx="45">
                    <c:v>HR</c:v>
                  </c:pt>
                  <c:pt idx="46">
                    <c:v>Finance</c:v>
                  </c:pt>
                  <c:pt idx="47">
                    <c:v>Operations</c:v>
                  </c:pt>
                  <c:pt idx="48">
                    <c:v>Finance</c:v>
                  </c:pt>
                  <c:pt idx="49">
                    <c:v>Marketing</c:v>
                  </c:pt>
                </c:lvl>
                <c:lvl>
                  <c:pt idx="0">
                    <c:v>Employee_1</c:v>
                  </c:pt>
                  <c:pt idx="1">
                    <c:v>Employee_2</c:v>
                  </c:pt>
                  <c:pt idx="2">
                    <c:v>Employee_3</c:v>
                  </c:pt>
                  <c:pt idx="3">
                    <c:v>Employee_4</c:v>
                  </c:pt>
                  <c:pt idx="4">
                    <c:v>Employee_5</c:v>
                  </c:pt>
                  <c:pt idx="5">
                    <c:v>Employee_6</c:v>
                  </c:pt>
                  <c:pt idx="6">
                    <c:v>Employee_7</c:v>
                  </c:pt>
                  <c:pt idx="7">
                    <c:v>Employee_8</c:v>
                  </c:pt>
                  <c:pt idx="8">
                    <c:v>Employee_9</c:v>
                  </c:pt>
                  <c:pt idx="9">
                    <c:v>Employee_10</c:v>
                  </c:pt>
                  <c:pt idx="10">
                    <c:v>Employee_11</c:v>
                  </c:pt>
                  <c:pt idx="11">
                    <c:v>Employee_12</c:v>
                  </c:pt>
                  <c:pt idx="12">
                    <c:v>Employee_13</c:v>
                  </c:pt>
                  <c:pt idx="13">
                    <c:v>Employee_14</c:v>
                  </c:pt>
                  <c:pt idx="14">
                    <c:v>Employee_15</c:v>
                  </c:pt>
                  <c:pt idx="15">
                    <c:v>Employee_16</c:v>
                  </c:pt>
                  <c:pt idx="16">
                    <c:v>Employee_17</c:v>
                  </c:pt>
                  <c:pt idx="17">
                    <c:v>Employee_18</c:v>
                  </c:pt>
                  <c:pt idx="18">
                    <c:v>Employee_19</c:v>
                  </c:pt>
                  <c:pt idx="19">
                    <c:v>Employee_20</c:v>
                  </c:pt>
                  <c:pt idx="20">
                    <c:v>Employee_21</c:v>
                  </c:pt>
                  <c:pt idx="21">
                    <c:v>Employee_22</c:v>
                  </c:pt>
                  <c:pt idx="22">
                    <c:v>Employee_23</c:v>
                  </c:pt>
                  <c:pt idx="23">
                    <c:v>Employee_24</c:v>
                  </c:pt>
                  <c:pt idx="24">
                    <c:v>Employee_25</c:v>
                  </c:pt>
                  <c:pt idx="25">
                    <c:v>Employee_26</c:v>
                  </c:pt>
                  <c:pt idx="26">
                    <c:v>Employee_27</c:v>
                  </c:pt>
                  <c:pt idx="27">
                    <c:v>Employee_28</c:v>
                  </c:pt>
                  <c:pt idx="28">
                    <c:v>Employee_29</c:v>
                  </c:pt>
                  <c:pt idx="29">
                    <c:v>Employee_30</c:v>
                  </c:pt>
                  <c:pt idx="30">
                    <c:v>Employee_31</c:v>
                  </c:pt>
                  <c:pt idx="31">
                    <c:v>Employee_32</c:v>
                  </c:pt>
                  <c:pt idx="32">
                    <c:v>Employee_33</c:v>
                  </c:pt>
                  <c:pt idx="33">
                    <c:v>Employee_34</c:v>
                  </c:pt>
                  <c:pt idx="34">
                    <c:v>Employee_35</c:v>
                  </c:pt>
                  <c:pt idx="35">
                    <c:v>Employee_36</c:v>
                  </c:pt>
                  <c:pt idx="36">
                    <c:v>Employee_37</c:v>
                  </c:pt>
                  <c:pt idx="37">
                    <c:v>Employee_38</c:v>
                  </c:pt>
                  <c:pt idx="38">
                    <c:v>Employee_39</c:v>
                  </c:pt>
                  <c:pt idx="39">
                    <c:v>Employee_40</c:v>
                  </c:pt>
                  <c:pt idx="40">
                    <c:v>Employee_41</c:v>
                  </c:pt>
                  <c:pt idx="41">
                    <c:v>Employee_42</c:v>
                  </c:pt>
                  <c:pt idx="42">
                    <c:v>Employee_43</c:v>
                  </c:pt>
                  <c:pt idx="43">
                    <c:v>Employee_44</c:v>
                  </c:pt>
                  <c:pt idx="44">
                    <c:v>Employee_45</c:v>
                  </c:pt>
                  <c:pt idx="45">
                    <c:v>Employee_46</c:v>
                  </c:pt>
                  <c:pt idx="46">
                    <c:v>Employee_47</c:v>
                  </c:pt>
                  <c:pt idx="47">
                    <c:v>Employee_48</c:v>
                  </c:pt>
                  <c:pt idx="48">
                    <c:v>Employee_49</c:v>
                  </c:pt>
                  <c:pt idx="49">
                    <c:v>Employee_50</c:v>
                  </c:pt>
                  <c:pt idx="50">
                    <c:v>MEAN</c:v>
                  </c:pt>
                  <c:pt idx="51">
                    <c:v>MEDIAN</c:v>
                  </c:pt>
                  <c:pt idx="52">
                    <c:v>MODE</c:v>
                  </c:pt>
                  <c:pt idx="53">
                    <c:v>RANGE</c:v>
                  </c:pt>
                  <c:pt idx="54">
                    <c:v>VARIANCE</c:v>
                  </c:pt>
                  <c:pt idx="55">
                    <c:v>STANDARD DEVIATION</c:v>
                  </c:pt>
                  <c:pt idx="56">
                    <c:v>CORRELATION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</c:lvl>
              </c:multiLvlStrCache>
            </c:multiLvlStrRef>
          </c:xVal>
          <c:yVal>
            <c:numRef>
              <c:f>employee_salary_dataset!$H$2:$H$58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67-4315-9DC8-D14E4BD01780}"/>
            </c:ext>
          </c:extLst>
        </c:ser>
        <c:ser>
          <c:idx val="5"/>
          <c:order val="5"/>
          <c:tx>
            <c:strRef>
              <c:f>employee_salary_dataset!$I$1</c:f>
              <c:strCache>
                <c:ptCount val="1"/>
                <c:pt idx="0">
                  <c:v>Monthly_Salary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employee_salary_dataset!$A$2:$C$58</c:f>
              <c:multiLvlStrCache>
                <c:ptCount val="57"/>
                <c:lvl>
                  <c:pt idx="0">
                    <c:v>Marketing</c:v>
                  </c:pt>
                  <c:pt idx="1">
                    <c:v>Operations</c:v>
                  </c:pt>
                  <c:pt idx="2">
                    <c:v>IT</c:v>
                  </c:pt>
                  <c:pt idx="3">
                    <c:v>Operations</c:v>
                  </c:pt>
                  <c:pt idx="4">
                    <c:v>Operations</c:v>
                  </c:pt>
                  <c:pt idx="5">
                    <c:v>Finance</c:v>
                  </c:pt>
                  <c:pt idx="6">
                    <c:v>IT</c:v>
                  </c:pt>
                  <c:pt idx="7">
                    <c:v>IT</c:v>
                  </c:pt>
                  <c:pt idx="8">
                    <c:v>IT</c:v>
                  </c:pt>
                  <c:pt idx="9">
                    <c:v>Operations</c:v>
                  </c:pt>
                  <c:pt idx="10">
                    <c:v>Marketing</c:v>
                  </c:pt>
                  <c:pt idx="11">
                    <c:v>IT</c:v>
                  </c:pt>
                  <c:pt idx="12">
                    <c:v>Operations</c:v>
                  </c:pt>
                  <c:pt idx="13">
                    <c:v>Finance</c:v>
                  </c:pt>
                  <c:pt idx="14">
                    <c:v>Marketing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Operations</c:v>
                  </c:pt>
                  <c:pt idx="18">
                    <c:v>HR</c:v>
                  </c:pt>
                  <c:pt idx="19">
                    <c:v>Marketing</c:v>
                  </c:pt>
                  <c:pt idx="20">
                    <c:v>Finance</c:v>
                  </c:pt>
                  <c:pt idx="21">
                    <c:v>Operations</c:v>
                  </c:pt>
                  <c:pt idx="22">
                    <c:v>Marketing</c:v>
                  </c:pt>
                  <c:pt idx="23">
                    <c:v>HR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IT</c:v>
                  </c:pt>
                  <c:pt idx="27">
                    <c:v>Finance</c:v>
                  </c:pt>
                  <c:pt idx="28">
                    <c:v>Marketing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Marketing</c:v>
                  </c:pt>
                  <c:pt idx="32">
                    <c:v>Marketing</c:v>
                  </c:pt>
                  <c:pt idx="33">
                    <c:v>HR</c:v>
                  </c:pt>
                  <c:pt idx="34">
                    <c:v>IT</c:v>
                  </c:pt>
                  <c:pt idx="35">
                    <c:v>Operations</c:v>
                  </c:pt>
                  <c:pt idx="36">
                    <c:v>IT</c:v>
                  </c:pt>
                  <c:pt idx="37">
                    <c:v>Operations</c:v>
                  </c:pt>
                  <c:pt idx="38">
                    <c:v>HR</c:v>
                  </c:pt>
                  <c:pt idx="39">
                    <c:v>Finance</c:v>
                  </c:pt>
                  <c:pt idx="40">
                    <c:v>Marketing</c:v>
                  </c:pt>
                  <c:pt idx="41">
                    <c:v>HR</c:v>
                  </c:pt>
                  <c:pt idx="42">
                    <c:v>Marketing</c:v>
                  </c:pt>
                  <c:pt idx="43">
                    <c:v>Finance</c:v>
                  </c:pt>
                  <c:pt idx="44">
                    <c:v>Finance</c:v>
                  </c:pt>
                  <c:pt idx="45">
                    <c:v>HR</c:v>
                  </c:pt>
                  <c:pt idx="46">
                    <c:v>Finance</c:v>
                  </c:pt>
                  <c:pt idx="47">
                    <c:v>Operations</c:v>
                  </c:pt>
                  <c:pt idx="48">
                    <c:v>Finance</c:v>
                  </c:pt>
                  <c:pt idx="49">
                    <c:v>Marketing</c:v>
                  </c:pt>
                </c:lvl>
                <c:lvl>
                  <c:pt idx="0">
                    <c:v>Employee_1</c:v>
                  </c:pt>
                  <c:pt idx="1">
                    <c:v>Employee_2</c:v>
                  </c:pt>
                  <c:pt idx="2">
                    <c:v>Employee_3</c:v>
                  </c:pt>
                  <c:pt idx="3">
                    <c:v>Employee_4</c:v>
                  </c:pt>
                  <c:pt idx="4">
                    <c:v>Employee_5</c:v>
                  </c:pt>
                  <c:pt idx="5">
                    <c:v>Employee_6</c:v>
                  </c:pt>
                  <c:pt idx="6">
                    <c:v>Employee_7</c:v>
                  </c:pt>
                  <c:pt idx="7">
                    <c:v>Employee_8</c:v>
                  </c:pt>
                  <c:pt idx="8">
                    <c:v>Employee_9</c:v>
                  </c:pt>
                  <c:pt idx="9">
                    <c:v>Employee_10</c:v>
                  </c:pt>
                  <c:pt idx="10">
                    <c:v>Employee_11</c:v>
                  </c:pt>
                  <c:pt idx="11">
                    <c:v>Employee_12</c:v>
                  </c:pt>
                  <c:pt idx="12">
                    <c:v>Employee_13</c:v>
                  </c:pt>
                  <c:pt idx="13">
                    <c:v>Employee_14</c:v>
                  </c:pt>
                  <c:pt idx="14">
                    <c:v>Employee_15</c:v>
                  </c:pt>
                  <c:pt idx="15">
                    <c:v>Employee_16</c:v>
                  </c:pt>
                  <c:pt idx="16">
                    <c:v>Employee_17</c:v>
                  </c:pt>
                  <c:pt idx="17">
                    <c:v>Employee_18</c:v>
                  </c:pt>
                  <c:pt idx="18">
                    <c:v>Employee_19</c:v>
                  </c:pt>
                  <c:pt idx="19">
                    <c:v>Employee_20</c:v>
                  </c:pt>
                  <c:pt idx="20">
                    <c:v>Employee_21</c:v>
                  </c:pt>
                  <c:pt idx="21">
                    <c:v>Employee_22</c:v>
                  </c:pt>
                  <c:pt idx="22">
                    <c:v>Employee_23</c:v>
                  </c:pt>
                  <c:pt idx="23">
                    <c:v>Employee_24</c:v>
                  </c:pt>
                  <c:pt idx="24">
                    <c:v>Employee_25</c:v>
                  </c:pt>
                  <c:pt idx="25">
                    <c:v>Employee_26</c:v>
                  </c:pt>
                  <c:pt idx="26">
                    <c:v>Employee_27</c:v>
                  </c:pt>
                  <c:pt idx="27">
                    <c:v>Employee_28</c:v>
                  </c:pt>
                  <c:pt idx="28">
                    <c:v>Employee_29</c:v>
                  </c:pt>
                  <c:pt idx="29">
                    <c:v>Employee_30</c:v>
                  </c:pt>
                  <c:pt idx="30">
                    <c:v>Employee_31</c:v>
                  </c:pt>
                  <c:pt idx="31">
                    <c:v>Employee_32</c:v>
                  </c:pt>
                  <c:pt idx="32">
                    <c:v>Employee_33</c:v>
                  </c:pt>
                  <c:pt idx="33">
                    <c:v>Employee_34</c:v>
                  </c:pt>
                  <c:pt idx="34">
                    <c:v>Employee_35</c:v>
                  </c:pt>
                  <c:pt idx="35">
                    <c:v>Employee_36</c:v>
                  </c:pt>
                  <c:pt idx="36">
                    <c:v>Employee_37</c:v>
                  </c:pt>
                  <c:pt idx="37">
                    <c:v>Employee_38</c:v>
                  </c:pt>
                  <c:pt idx="38">
                    <c:v>Employee_39</c:v>
                  </c:pt>
                  <c:pt idx="39">
                    <c:v>Employee_40</c:v>
                  </c:pt>
                  <c:pt idx="40">
                    <c:v>Employee_41</c:v>
                  </c:pt>
                  <c:pt idx="41">
                    <c:v>Employee_42</c:v>
                  </c:pt>
                  <c:pt idx="42">
                    <c:v>Employee_43</c:v>
                  </c:pt>
                  <c:pt idx="43">
                    <c:v>Employee_44</c:v>
                  </c:pt>
                  <c:pt idx="44">
                    <c:v>Employee_45</c:v>
                  </c:pt>
                  <c:pt idx="45">
                    <c:v>Employee_46</c:v>
                  </c:pt>
                  <c:pt idx="46">
                    <c:v>Employee_47</c:v>
                  </c:pt>
                  <c:pt idx="47">
                    <c:v>Employee_48</c:v>
                  </c:pt>
                  <c:pt idx="48">
                    <c:v>Employee_49</c:v>
                  </c:pt>
                  <c:pt idx="49">
                    <c:v>Employee_50</c:v>
                  </c:pt>
                  <c:pt idx="50">
                    <c:v>MEAN</c:v>
                  </c:pt>
                  <c:pt idx="51">
                    <c:v>MEDIAN</c:v>
                  </c:pt>
                  <c:pt idx="52">
                    <c:v>MODE</c:v>
                  </c:pt>
                  <c:pt idx="53">
                    <c:v>RANGE</c:v>
                  </c:pt>
                  <c:pt idx="54">
                    <c:v>VARIANCE</c:v>
                  </c:pt>
                  <c:pt idx="55">
                    <c:v>STANDARD DEVIATION</c:v>
                  </c:pt>
                  <c:pt idx="56">
                    <c:v>CORRELATION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</c:lvl>
              </c:multiLvlStrCache>
            </c:multiLvlStrRef>
          </c:xVal>
          <c:yVal>
            <c:numRef>
              <c:f>employee_salary_dataset!$I$2:$I$58</c:f>
              <c:numCache>
                <c:formatCode>General</c:formatCode>
                <c:ptCount val="57"/>
                <c:pt idx="0">
                  <c:v>111416</c:v>
                </c:pt>
                <c:pt idx="1">
                  <c:v>95271</c:v>
                </c:pt>
                <c:pt idx="2">
                  <c:v>69064</c:v>
                </c:pt>
                <c:pt idx="3">
                  <c:v>95091</c:v>
                </c:pt>
                <c:pt idx="4">
                  <c:v>132450</c:v>
                </c:pt>
                <c:pt idx="5">
                  <c:v>65818</c:v>
                </c:pt>
                <c:pt idx="6">
                  <c:v>70525</c:v>
                </c:pt>
                <c:pt idx="7">
                  <c:v>44830</c:v>
                </c:pt>
                <c:pt idx="8">
                  <c:v>42429</c:v>
                </c:pt>
                <c:pt idx="9">
                  <c:v>31893</c:v>
                </c:pt>
                <c:pt idx="10">
                  <c:v>141381</c:v>
                </c:pt>
                <c:pt idx="11">
                  <c:v>104909</c:v>
                </c:pt>
                <c:pt idx="12">
                  <c:v>72333</c:v>
                </c:pt>
                <c:pt idx="13">
                  <c:v>28436</c:v>
                </c:pt>
                <c:pt idx="14">
                  <c:v>99290</c:v>
                </c:pt>
                <c:pt idx="15">
                  <c:v>101213</c:v>
                </c:pt>
                <c:pt idx="16">
                  <c:v>30895</c:v>
                </c:pt>
                <c:pt idx="17">
                  <c:v>44738</c:v>
                </c:pt>
                <c:pt idx="18">
                  <c:v>55746</c:v>
                </c:pt>
                <c:pt idx="19">
                  <c:v>74377</c:v>
                </c:pt>
                <c:pt idx="20">
                  <c:v>73404</c:v>
                </c:pt>
                <c:pt idx="21">
                  <c:v>79045</c:v>
                </c:pt>
                <c:pt idx="22">
                  <c:v>122888</c:v>
                </c:pt>
                <c:pt idx="23">
                  <c:v>64790</c:v>
                </c:pt>
                <c:pt idx="24">
                  <c:v>132455</c:v>
                </c:pt>
                <c:pt idx="25">
                  <c:v>30600</c:v>
                </c:pt>
                <c:pt idx="26">
                  <c:v>119660</c:v>
                </c:pt>
                <c:pt idx="27">
                  <c:v>118179</c:v>
                </c:pt>
                <c:pt idx="28">
                  <c:v>65764</c:v>
                </c:pt>
                <c:pt idx="29">
                  <c:v>99543</c:v>
                </c:pt>
                <c:pt idx="30">
                  <c:v>70714</c:v>
                </c:pt>
                <c:pt idx="31">
                  <c:v>81835</c:v>
                </c:pt>
                <c:pt idx="32">
                  <c:v>127946</c:v>
                </c:pt>
                <c:pt idx="33">
                  <c:v>134616</c:v>
                </c:pt>
                <c:pt idx="34">
                  <c:v>130983</c:v>
                </c:pt>
                <c:pt idx="35">
                  <c:v>98744</c:v>
                </c:pt>
                <c:pt idx="36">
                  <c:v>81491</c:v>
                </c:pt>
                <c:pt idx="37">
                  <c:v>149123</c:v>
                </c:pt>
                <c:pt idx="38">
                  <c:v>43589</c:v>
                </c:pt>
                <c:pt idx="39">
                  <c:v>68484</c:v>
                </c:pt>
                <c:pt idx="40">
                  <c:v>107989</c:v>
                </c:pt>
                <c:pt idx="41">
                  <c:v>107989</c:v>
                </c:pt>
                <c:pt idx="42">
                  <c:v>68525</c:v>
                </c:pt>
                <c:pt idx="43">
                  <c:v>72202</c:v>
                </c:pt>
                <c:pt idx="44">
                  <c:v>57635</c:v>
                </c:pt>
                <c:pt idx="45">
                  <c:v>88208</c:v>
                </c:pt>
                <c:pt idx="46">
                  <c:v>58828</c:v>
                </c:pt>
                <c:pt idx="47">
                  <c:v>43711</c:v>
                </c:pt>
                <c:pt idx="48">
                  <c:v>28420</c:v>
                </c:pt>
                <c:pt idx="49">
                  <c:v>121752</c:v>
                </c:pt>
                <c:pt idx="50">
                  <c:v>83224.34</c:v>
                </c:pt>
                <c:pt idx="51">
                  <c:v>76711</c:v>
                </c:pt>
                <c:pt idx="52">
                  <c:v>107989</c:v>
                </c:pt>
                <c:pt idx="53">
                  <c:v>120703</c:v>
                </c:pt>
                <c:pt idx="54">
                  <c:v>1127207350.4330606</c:v>
                </c:pt>
                <c:pt idx="55">
                  <c:v>33573.908775015465</c:v>
                </c:pt>
                <c:pt idx="56">
                  <c:v>7.9951066006040641E-2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67-4315-9DC8-D14E4BD01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608351"/>
        <c:axId val="1468624191"/>
      </c:scatterChart>
      <c:valAx>
        <c:axId val="146860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24191"/>
        <c:crosses val="autoZero"/>
        <c:crossBetween val="midCat"/>
      </c:valAx>
      <c:valAx>
        <c:axId val="1468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08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employee_salary_dataset!$A$1</c:f>
              <c:strCache>
                <c:ptCount val="1"/>
                <c:pt idx="0">
                  <c:v>EmployeeID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employee_salary_dataset!$A$2:$A$58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8-4E55-A138-10B39F0A6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405194</xdr:colOff>
      <xdr:row>2</xdr:row>
      <xdr:rowOff>108194</xdr:rowOff>
    </xdr:from>
    <xdr:to>
      <xdr:col>16</xdr:col>
      <xdr:colOff>493059</xdr:colOff>
      <xdr:row>15</xdr:row>
      <xdr:rowOff>100853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1B831-E387-12FC-7741-C29C4001A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420219</xdr:colOff>
      <xdr:row>1</xdr:row>
      <xdr:rowOff>79562</xdr:rowOff>
    </xdr:from>
    <xdr:to>
      <xdr:col>25</xdr:col>
      <xdr:colOff>151278</xdr:colOff>
      <xdr:row>15</xdr:row>
      <xdr:rowOff>155762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65DDD6-F562-45D3-B555-9B5E7A1D0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156882</xdr:colOff>
      <xdr:row>17</xdr:row>
      <xdr:rowOff>23532</xdr:rowOff>
    </xdr:from>
    <xdr:to>
      <xdr:col>17</xdr:col>
      <xdr:colOff>493058</xdr:colOff>
      <xdr:row>31</xdr:row>
      <xdr:rowOff>99732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DF7689-622B-D851-637E-CAB64150E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2307-39C7-4192-AC73-F0D3034B754B}">
  <dimension ref="A1:I18"/>
  <sheetViews>
    <sheetView workbookViewId="0">
      <selection sqref="A1:I21"/>
    </sheetView>
  </sheetViews>
  <sheetFormatPr defaultRowHeight="15" x14ac:dyDescent="0.25"/>
  <sheetData>
    <row r="1" spans="1:9" x14ac:dyDescent="0.25">
      <c r="A1" t="s">
        <v>82</v>
      </c>
    </row>
    <row r="2" spans="1:9" ht="15.75" thickBot="1" x14ac:dyDescent="0.3"/>
    <row r="3" spans="1:9" x14ac:dyDescent="0.25">
      <c r="A3" s="5" t="s">
        <v>83</v>
      </c>
      <c r="B3" s="5"/>
    </row>
    <row r="4" spans="1:9" x14ac:dyDescent="0.25">
      <c r="A4" s="2" t="s">
        <v>84</v>
      </c>
      <c r="B4" s="2">
        <v>0.13083685717835902</v>
      </c>
    </row>
    <row r="5" spans="1:9" x14ac:dyDescent="0.25">
      <c r="A5" s="2" t="s">
        <v>85</v>
      </c>
      <c r="B5" s="2">
        <v>1.711828319631032E-2</v>
      </c>
    </row>
    <row r="6" spans="1:9" x14ac:dyDescent="0.25">
      <c r="A6" s="2" t="s">
        <v>86</v>
      </c>
      <c r="B6" s="2">
        <v>-3.3584192370998806E-3</v>
      </c>
    </row>
    <row r="7" spans="1:9" x14ac:dyDescent="0.25">
      <c r="A7" s="2" t="s">
        <v>87</v>
      </c>
      <c r="B7" s="2">
        <v>5.358971465016193</v>
      </c>
    </row>
    <row r="8" spans="1:9" ht="15.75" thickBot="1" x14ac:dyDescent="0.3">
      <c r="A8" s="3" t="s">
        <v>88</v>
      </c>
      <c r="B8" s="3">
        <v>50</v>
      </c>
    </row>
    <row r="10" spans="1:9" ht="15.75" thickBot="1" x14ac:dyDescent="0.3">
      <c r="A10" t="s">
        <v>89</v>
      </c>
    </row>
    <row r="11" spans="1:9" x14ac:dyDescent="0.25">
      <c r="A11" s="4"/>
      <c r="B11" s="4" t="s">
        <v>94</v>
      </c>
      <c r="C11" s="4" t="s">
        <v>95</v>
      </c>
      <c r="D11" s="4" t="s">
        <v>96</v>
      </c>
      <c r="E11" s="4" t="s">
        <v>97</v>
      </c>
      <c r="F11" s="4" t="s">
        <v>98</v>
      </c>
    </row>
    <row r="12" spans="1:9" x14ac:dyDescent="0.25">
      <c r="A12" s="2" t="s">
        <v>90</v>
      </c>
      <c r="B12" s="2">
        <v>1</v>
      </c>
      <c r="C12" s="2">
        <v>24.008392182825219</v>
      </c>
      <c r="D12" s="2">
        <v>24.008392182825219</v>
      </c>
      <c r="E12" s="2">
        <v>0.83598827750603943</v>
      </c>
      <c r="F12" s="2">
        <v>0.36511691714308459</v>
      </c>
    </row>
    <row r="13" spans="1:9" x14ac:dyDescent="0.25">
      <c r="A13" s="2" t="s">
        <v>91</v>
      </c>
      <c r="B13" s="2">
        <v>48</v>
      </c>
      <c r="C13" s="2">
        <v>1378.4916078171743</v>
      </c>
      <c r="D13" s="2">
        <v>28.7185751628578</v>
      </c>
      <c r="E13" s="2"/>
      <c r="F13" s="2"/>
    </row>
    <row r="14" spans="1:9" ht="15.75" thickBot="1" x14ac:dyDescent="0.3">
      <c r="A14" s="3" t="s">
        <v>92</v>
      </c>
      <c r="B14" s="3">
        <v>49</v>
      </c>
      <c r="C14" s="3">
        <v>1402.4999999999995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99</v>
      </c>
      <c r="C16" s="4" t="s">
        <v>87</v>
      </c>
      <c r="D16" s="4" t="s">
        <v>100</v>
      </c>
      <c r="E16" s="4" t="s">
        <v>101</v>
      </c>
      <c r="F16" s="4" t="s">
        <v>102</v>
      </c>
      <c r="G16" s="4" t="s">
        <v>103</v>
      </c>
      <c r="H16" s="4" t="s">
        <v>104</v>
      </c>
      <c r="I16" s="4" t="s">
        <v>105</v>
      </c>
    </row>
    <row r="17" spans="1:9" x14ac:dyDescent="0.25">
      <c r="A17" s="2" t="s">
        <v>93</v>
      </c>
      <c r="B17" s="2">
        <v>7.4882423618262957</v>
      </c>
      <c r="C17" s="2">
        <v>2.7444661685096139</v>
      </c>
      <c r="D17" s="2">
        <v>2.7284877648511134</v>
      </c>
      <c r="E17" s="2">
        <v>8.8641698496568118E-3</v>
      </c>
      <c r="F17" s="2">
        <v>1.9701232922970648</v>
      </c>
      <c r="G17" s="2">
        <v>13.006361431355526</v>
      </c>
      <c r="H17" s="2">
        <v>1.9701232922970648</v>
      </c>
      <c r="I17" s="2">
        <v>13.006361431355526</v>
      </c>
    </row>
    <row r="18" spans="1:9" ht="15.75" thickBot="1" x14ac:dyDescent="0.3">
      <c r="A18" s="3" t="s">
        <v>106</v>
      </c>
      <c r="B18" s="3">
        <v>6.0657888284046904E-2</v>
      </c>
      <c r="C18" s="3">
        <v>6.6341791195169003E-2</v>
      </c>
      <c r="D18" s="3">
        <v>0.91432394560465224</v>
      </c>
      <c r="E18" s="3">
        <v>0.36511691714307903</v>
      </c>
      <c r="F18" s="3">
        <v>-7.2731222976009105E-2</v>
      </c>
      <c r="G18" s="3">
        <v>0.19404699954410293</v>
      </c>
      <c r="H18" s="3">
        <v>-7.2731222976009105E-2</v>
      </c>
      <c r="I18" s="3">
        <v>0.19404699954410293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1BE2-2368-439B-A1E5-5ED8B05C27C2}">
  <dimension ref="A1:B15"/>
  <sheetViews>
    <sheetView tabSelected="1" workbookViewId="0">
      <selection sqref="A1:B15"/>
    </sheetView>
  </sheetViews>
  <sheetFormatPr defaultRowHeight="15" x14ac:dyDescent="0.25"/>
  <sheetData>
    <row r="1" spans="1:2" x14ac:dyDescent="0.25">
      <c r="A1" s="5" t="s">
        <v>107</v>
      </c>
      <c r="B1" s="5"/>
    </row>
    <row r="2" spans="1:2" x14ac:dyDescent="0.25">
      <c r="A2" s="2"/>
      <c r="B2" s="2"/>
    </row>
    <row r="3" spans="1:2" x14ac:dyDescent="0.25">
      <c r="A3" s="2" t="s">
        <v>108</v>
      </c>
      <c r="B3" s="2">
        <v>83224.34</v>
      </c>
    </row>
    <row r="4" spans="1:2" x14ac:dyDescent="0.25">
      <c r="A4" s="2" t="s">
        <v>87</v>
      </c>
      <c r="B4" s="2">
        <v>4748.0677131503935</v>
      </c>
    </row>
    <row r="5" spans="1:2" x14ac:dyDescent="0.25">
      <c r="A5" s="2" t="s">
        <v>109</v>
      </c>
      <c r="B5" s="2">
        <v>76711</v>
      </c>
    </row>
    <row r="6" spans="1:2" x14ac:dyDescent="0.25">
      <c r="A6" s="2" t="s">
        <v>110</v>
      </c>
      <c r="B6" s="2">
        <v>107989</v>
      </c>
    </row>
    <row r="7" spans="1:2" x14ac:dyDescent="0.25">
      <c r="A7" s="2" t="s">
        <v>111</v>
      </c>
      <c r="B7" s="2">
        <v>33573.908775015465</v>
      </c>
    </row>
    <row r="8" spans="1:2" x14ac:dyDescent="0.25">
      <c r="A8" s="2" t="s">
        <v>112</v>
      </c>
      <c r="B8" s="2">
        <v>1127207350.4330606</v>
      </c>
    </row>
    <row r="9" spans="1:2" x14ac:dyDescent="0.25">
      <c r="A9" s="2" t="s">
        <v>113</v>
      </c>
      <c r="B9" s="2">
        <v>-0.9748347304088969</v>
      </c>
    </row>
    <row r="10" spans="1:2" x14ac:dyDescent="0.25">
      <c r="A10" s="2" t="s">
        <v>114</v>
      </c>
      <c r="B10" s="2">
        <v>0.1154640327619994</v>
      </c>
    </row>
    <row r="11" spans="1:2" x14ac:dyDescent="0.25">
      <c r="A11" s="2" t="s">
        <v>115</v>
      </c>
      <c r="B11" s="2">
        <v>120703</v>
      </c>
    </row>
    <row r="12" spans="1:2" x14ac:dyDescent="0.25">
      <c r="A12" s="2" t="s">
        <v>116</v>
      </c>
      <c r="B12" s="2">
        <v>28420</v>
      </c>
    </row>
    <row r="13" spans="1:2" x14ac:dyDescent="0.25">
      <c r="A13" s="2" t="s">
        <v>117</v>
      </c>
      <c r="B13" s="2">
        <v>149123</v>
      </c>
    </row>
    <row r="14" spans="1:2" x14ac:dyDescent="0.25">
      <c r="A14" s="2" t="s">
        <v>118</v>
      </c>
      <c r="B14" s="2">
        <v>4161217</v>
      </c>
    </row>
    <row r="15" spans="1:2" ht="15.75" thickBot="1" x14ac:dyDescent="0.3">
      <c r="A15" s="3" t="s">
        <v>119</v>
      </c>
      <c r="B15" s="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123F-AD3B-4BB0-820A-AE3336DCE036}">
  <dimension ref="A1:J58"/>
  <sheetViews>
    <sheetView zoomScale="85" zoomScaleNormal="85" workbookViewId="0">
      <selection activeCell="V28" sqref="V28"/>
    </sheetView>
  </sheetViews>
  <sheetFormatPr defaultRowHeight="15" x14ac:dyDescent="0.25"/>
  <cols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15</v>
      </c>
      <c r="E2" t="s">
        <v>11</v>
      </c>
      <c r="F2">
        <v>53</v>
      </c>
      <c r="G2" t="s">
        <v>12</v>
      </c>
      <c r="H2" t="s">
        <v>13</v>
      </c>
      <c r="I2">
        <v>111416</v>
      </c>
    </row>
    <row r="3" spans="1:9" x14ac:dyDescent="0.25">
      <c r="A3">
        <v>2</v>
      </c>
      <c r="B3" t="s">
        <v>14</v>
      </c>
      <c r="C3" t="s">
        <v>15</v>
      </c>
      <c r="D3">
        <v>7</v>
      </c>
      <c r="E3" t="s">
        <v>16</v>
      </c>
      <c r="F3">
        <v>25</v>
      </c>
      <c r="G3" t="s">
        <v>12</v>
      </c>
      <c r="H3" t="s">
        <v>17</v>
      </c>
      <c r="I3">
        <v>95271</v>
      </c>
    </row>
    <row r="4" spans="1:9" x14ac:dyDescent="0.25">
      <c r="A4">
        <v>3</v>
      </c>
      <c r="B4" t="s">
        <v>18</v>
      </c>
      <c r="C4" t="s">
        <v>19</v>
      </c>
      <c r="D4">
        <v>12</v>
      </c>
      <c r="E4" t="s">
        <v>20</v>
      </c>
      <c r="F4">
        <v>51</v>
      </c>
      <c r="G4" t="s">
        <v>12</v>
      </c>
      <c r="H4" t="s">
        <v>21</v>
      </c>
      <c r="I4">
        <v>69064</v>
      </c>
    </row>
    <row r="5" spans="1:9" x14ac:dyDescent="0.25">
      <c r="A5">
        <v>4</v>
      </c>
      <c r="B5" t="s">
        <v>22</v>
      </c>
      <c r="C5" t="s">
        <v>15</v>
      </c>
      <c r="D5">
        <v>8</v>
      </c>
      <c r="E5" t="s">
        <v>23</v>
      </c>
      <c r="F5">
        <v>44</v>
      </c>
      <c r="G5" t="s">
        <v>24</v>
      </c>
      <c r="H5" t="s">
        <v>13</v>
      </c>
      <c r="I5">
        <v>95091</v>
      </c>
    </row>
    <row r="6" spans="1:9" x14ac:dyDescent="0.25">
      <c r="A6">
        <v>5</v>
      </c>
      <c r="B6" t="s">
        <v>25</v>
      </c>
      <c r="C6" t="s">
        <v>15</v>
      </c>
      <c r="D6">
        <v>15</v>
      </c>
      <c r="E6" t="s">
        <v>11</v>
      </c>
      <c r="F6">
        <v>36</v>
      </c>
      <c r="G6" t="s">
        <v>12</v>
      </c>
      <c r="H6" t="s">
        <v>13</v>
      </c>
      <c r="I6">
        <v>132450</v>
      </c>
    </row>
    <row r="7" spans="1:9" x14ac:dyDescent="0.25">
      <c r="A7">
        <v>6</v>
      </c>
      <c r="B7" t="s">
        <v>26</v>
      </c>
      <c r="C7" t="s">
        <v>27</v>
      </c>
      <c r="D7">
        <v>3</v>
      </c>
      <c r="E7" t="s">
        <v>20</v>
      </c>
      <c r="F7">
        <v>50</v>
      </c>
      <c r="G7" t="s">
        <v>24</v>
      </c>
      <c r="H7" t="s">
        <v>28</v>
      </c>
      <c r="I7">
        <v>65818</v>
      </c>
    </row>
    <row r="8" spans="1:9" x14ac:dyDescent="0.25">
      <c r="A8">
        <v>7</v>
      </c>
      <c r="B8" t="s">
        <v>29</v>
      </c>
      <c r="C8" t="s">
        <v>19</v>
      </c>
      <c r="D8">
        <v>14</v>
      </c>
      <c r="E8" t="s">
        <v>23</v>
      </c>
      <c r="F8">
        <v>57</v>
      </c>
      <c r="G8" t="s">
        <v>24</v>
      </c>
      <c r="H8" t="s">
        <v>28</v>
      </c>
      <c r="I8">
        <v>70525</v>
      </c>
    </row>
    <row r="9" spans="1:9" x14ac:dyDescent="0.25">
      <c r="A9">
        <v>8</v>
      </c>
      <c r="B9" t="s">
        <v>30</v>
      </c>
      <c r="C9" t="s">
        <v>19</v>
      </c>
      <c r="D9">
        <v>17</v>
      </c>
      <c r="E9" t="s">
        <v>23</v>
      </c>
      <c r="F9">
        <v>34</v>
      </c>
      <c r="G9" t="s">
        <v>12</v>
      </c>
      <c r="H9" t="s">
        <v>17</v>
      </c>
      <c r="I9">
        <v>44830</v>
      </c>
    </row>
    <row r="10" spans="1:9" x14ac:dyDescent="0.25">
      <c r="A10">
        <v>9</v>
      </c>
      <c r="B10" t="s">
        <v>31</v>
      </c>
      <c r="C10" t="s">
        <v>19</v>
      </c>
      <c r="D10">
        <v>4</v>
      </c>
      <c r="E10" t="s">
        <v>16</v>
      </c>
      <c r="F10">
        <v>53</v>
      </c>
      <c r="G10" t="s">
        <v>24</v>
      </c>
      <c r="H10" t="s">
        <v>21</v>
      </c>
      <c r="I10">
        <v>42429</v>
      </c>
    </row>
    <row r="11" spans="1:9" x14ac:dyDescent="0.25">
      <c r="A11">
        <v>10</v>
      </c>
      <c r="B11" t="s">
        <v>32</v>
      </c>
      <c r="C11" t="s">
        <v>15</v>
      </c>
      <c r="D11">
        <v>18</v>
      </c>
      <c r="E11" t="s">
        <v>20</v>
      </c>
      <c r="F11">
        <v>28</v>
      </c>
      <c r="G11" t="s">
        <v>24</v>
      </c>
      <c r="H11" t="s">
        <v>28</v>
      </c>
      <c r="I11">
        <v>31893</v>
      </c>
    </row>
    <row r="12" spans="1:9" x14ac:dyDescent="0.25">
      <c r="A12">
        <v>11</v>
      </c>
      <c r="B12" t="s">
        <v>33</v>
      </c>
      <c r="C12" t="s">
        <v>10</v>
      </c>
      <c r="D12">
        <v>8</v>
      </c>
      <c r="E12" t="s">
        <v>23</v>
      </c>
      <c r="F12">
        <v>43</v>
      </c>
      <c r="G12" t="s">
        <v>24</v>
      </c>
      <c r="H12" t="s">
        <v>13</v>
      </c>
      <c r="I12">
        <v>141381</v>
      </c>
    </row>
    <row r="13" spans="1:9" x14ac:dyDescent="0.25">
      <c r="A13">
        <v>12</v>
      </c>
      <c r="B13" t="s">
        <v>34</v>
      </c>
      <c r="C13" t="s">
        <v>19</v>
      </c>
      <c r="D13">
        <v>4</v>
      </c>
      <c r="E13" t="s">
        <v>11</v>
      </c>
      <c r="F13">
        <v>49</v>
      </c>
      <c r="G13" t="s">
        <v>12</v>
      </c>
      <c r="H13" t="s">
        <v>21</v>
      </c>
      <c r="I13">
        <v>104909</v>
      </c>
    </row>
    <row r="14" spans="1:9" x14ac:dyDescent="0.25">
      <c r="A14">
        <v>13</v>
      </c>
      <c r="B14" t="s">
        <v>35</v>
      </c>
      <c r="C14" t="s">
        <v>15</v>
      </c>
      <c r="D14">
        <v>2</v>
      </c>
      <c r="E14" t="s">
        <v>11</v>
      </c>
      <c r="F14">
        <v>23</v>
      </c>
      <c r="G14" t="s">
        <v>12</v>
      </c>
      <c r="H14" t="s">
        <v>21</v>
      </c>
      <c r="I14">
        <v>72333</v>
      </c>
    </row>
    <row r="15" spans="1:9" x14ac:dyDescent="0.25">
      <c r="A15">
        <v>14</v>
      </c>
      <c r="B15" t="s">
        <v>36</v>
      </c>
      <c r="C15" t="s">
        <v>27</v>
      </c>
      <c r="D15">
        <v>6</v>
      </c>
      <c r="E15" t="s">
        <v>16</v>
      </c>
      <c r="F15">
        <v>27</v>
      </c>
      <c r="G15" t="s">
        <v>24</v>
      </c>
      <c r="H15" t="s">
        <v>13</v>
      </c>
      <c r="I15">
        <v>28436</v>
      </c>
    </row>
    <row r="16" spans="1:9" x14ac:dyDescent="0.25">
      <c r="A16">
        <v>15</v>
      </c>
      <c r="B16" t="s">
        <v>37</v>
      </c>
      <c r="C16" t="s">
        <v>10</v>
      </c>
      <c r="D16">
        <v>10</v>
      </c>
      <c r="E16" t="s">
        <v>23</v>
      </c>
      <c r="F16">
        <v>49</v>
      </c>
      <c r="G16" t="s">
        <v>12</v>
      </c>
      <c r="H16" t="s">
        <v>28</v>
      </c>
      <c r="I16">
        <v>99290</v>
      </c>
    </row>
    <row r="17" spans="1:9" x14ac:dyDescent="0.25">
      <c r="A17">
        <v>16</v>
      </c>
      <c r="B17" t="s">
        <v>38</v>
      </c>
      <c r="C17" t="s">
        <v>27</v>
      </c>
      <c r="D17">
        <v>4</v>
      </c>
      <c r="E17" t="s">
        <v>20</v>
      </c>
      <c r="F17">
        <v>49</v>
      </c>
      <c r="G17" t="s">
        <v>12</v>
      </c>
      <c r="H17" t="s">
        <v>13</v>
      </c>
      <c r="I17">
        <v>101213</v>
      </c>
    </row>
    <row r="18" spans="1:9" x14ac:dyDescent="0.25">
      <c r="A18">
        <v>17</v>
      </c>
      <c r="B18" t="s">
        <v>39</v>
      </c>
      <c r="C18" t="s">
        <v>10</v>
      </c>
      <c r="D18">
        <v>18</v>
      </c>
      <c r="E18" t="s">
        <v>11</v>
      </c>
      <c r="F18">
        <v>41</v>
      </c>
      <c r="G18" t="s">
        <v>12</v>
      </c>
      <c r="H18" t="s">
        <v>21</v>
      </c>
      <c r="I18">
        <v>30895</v>
      </c>
    </row>
    <row r="19" spans="1:9" x14ac:dyDescent="0.25">
      <c r="A19">
        <v>18</v>
      </c>
      <c r="B19" t="s">
        <v>40</v>
      </c>
      <c r="C19" t="s">
        <v>15</v>
      </c>
      <c r="D19">
        <v>12</v>
      </c>
      <c r="E19" t="s">
        <v>23</v>
      </c>
      <c r="F19">
        <v>51</v>
      </c>
      <c r="G19" t="s">
        <v>12</v>
      </c>
      <c r="H19" t="s">
        <v>41</v>
      </c>
      <c r="I19">
        <v>44738</v>
      </c>
    </row>
    <row r="20" spans="1:9" x14ac:dyDescent="0.25">
      <c r="A20">
        <v>19</v>
      </c>
      <c r="B20" t="s">
        <v>42</v>
      </c>
      <c r="C20" t="s">
        <v>43</v>
      </c>
      <c r="D20">
        <v>2</v>
      </c>
      <c r="E20" t="s">
        <v>23</v>
      </c>
      <c r="F20">
        <v>32</v>
      </c>
      <c r="G20" t="s">
        <v>24</v>
      </c>
      <c r="H20" t="s">
        <v>41</v>
      </c>
      <c r="I20">
        <v>55746</v>
      </c>
    </row>
    <row r="21" spans="1:9" x14ac:dyDescent="0.25">
      <c r="A21">
        <v>20</v>
      </c>
      <c r="B21" t="s">
        <v>44</v>
      </c>
      <c r="C21" t="s">
        <v>10</v>
      </c>
      <c r="D21">
        <v>10</v>
      </c>
      <c r="E21" t="s">
        <v>16</v>
      </c>
      <c r="F21">
        <v>49</v>
      </c>
      <c r="G21" t="s">
        <v>24</v>
      </c>
      <c r="H21" t="s">
        <v>17</v>
      </c>
      <c r="I21">
        <v>74377</v>
      </c>
    </row>
    <row r="22" spans="1:9" x14ac:dyDescent="0.25">
      <c r="A22">
        <v>21</v>
      </c>
      <c r="B22" t="s">
        <v>45</v>
      </c>
      <c r="C22" t="s">
        <v>27</v>
      </c>
      <c r="D22">
        <v>4</v>
      </c>
      <c r="E22" t="s">
        <v>11</v>
      </c>
      <c r="F22">
        <v>46</v>
      </c>
      <c r="G22" t="s">
        <v>12</v>
      </c>
      <c r="H22" t="s">
        <v>13</v>
      </c>
      <c r="I22">
        <v>73404</v>
      </c>
    </row>
    <row r="23" spans="1:9" x14ac:dyDescent="0.25">
      <c r="A23">
        <v>22</v>
      </c>
      <c r="B23" t="s">
        <v>46</v>
      </c>
      <c r="C23" t="s">
        <v>15</v>
      </c>
      <c r="D23">
        <v>14</v>
      </c>
      <c r="E23" t="s">
        <v>11</v>
      </c>
      <c r="F23">
        <v>54</v>
      </c>
      <c r="G23" t="s">
        <v>12</v>
      </c>
      <c r="H23" t="s">
        <v>13</v>
      </c>
      <c r="I23">
        <v>79045</v>
      </c>
    </row>
    <row r="24" spans="1:9" x14ac:dyDescent="0.25">
      <c r="A24">
        <v>23</v>
      </c>
      <c r="B24" t="s">
        <v>47</v>
      </c>
      <c r="C24" t="s">
        <v>10</v>
      </c>
      <c r="D24">
        <v>16</v>
      </c>
      <c r="E24" t="s">
        <v>20</v>
      </c>
      <c r="F24">
        <v>22</v>
      </c>
      <c r="G24" t="s">
        <v>24</v>
      </c>
      <c r="H24" t="s">
        <v>17</v>
      </c>
      <c r="I24">
        <v>122888</v>
      </c>
    </row>
    <row r="25" spans="1:9" x14ac:dyDescent="0.25">
      <c r="A25">
        <v>24</v>
      </c>
      <c r="B25" t="s">
        <v>48</v>
      </c>
      <c r="C25" t="s">
        <v>43</v>
      </c>
      <c r="D25">
        <v>15</v>
      </c>
      <c r="E25" t="s">
        <v>11</v>
      </c>
      <c r="F25">
        <v>48</v>
      </c>
      <c r="G25" t="s">
        <v>24</v>
      </c>
      <c r="H25" t="s">
        <v>17</v>
      </c>
      <c r="I25">
        <v>64790</v>
      </c>
    </row>
    <row r="26" spans="1:9" x14ac:dyDescent="0.25">
      <c r="A26">
        <v>25</v>
      </c>
      <c r="B26" t="s">
        <v>49</v>
      </c>
      <c r="C26" t="s">
        <v>43</v>
      </c>
      <c r="D26">
        <v>8</v>
      </c>
      <c r="E26" t="s">
        <v>20</v>
      </c>
      <c r="F26">
        <v>34</v>
      </c>
      <c r="G26" t="s">
        <v>12</v>
      </c>
      <c r="H26" t="s">
        <v>17</v>
      </c>
      <c r="I26">
        <v>132455</v>
      </c>
    </row>
    <row r="27" spans="1:9" x14ac:dyDescent="0.25">
      <c r="A27">
        <v>26</v>
      </c>
      <c r="B27" t="s">
        <v>50</v>
      </c>
      <c r="C27" t="s">
        <v>19</v>
      </c>
      <c r="D27">
        <v>14</v>
      </c>
      <c r="E27" t="s">
        <v>11</v>
      </c>
      <c r="F27">
        <v>24</v>
      </c>
      <c r="G27" t="s">
        <v>24</v>
      </c>
      <c r="H27" t="s">
        <v>21</v>
      </c>
      <c r="I27">
        <v>30600</v>
      </c>
    </row>
    <row r="28" spans="1:9" x14ac:dyDescent="0.25">
      <c r="A28">
        <v>27</v>
      </c>
      <c r="B28" t="s">
        <v>51</v>
      </c>
      <c r="C28" t="s">
        <v>19</v>
      </c>
      <c r="D28">
        <v>8</v>
      </c>
      <c r="E28" t="s">
        <v>16</v>
      </c>
      <c r="F28">
        <v>27</v>
      </c>
      <c r="G28" t="s">
        <v>12</v>
      </c>
      <c r="H28" t="s">
        <v>13</v>
      </c>
      <c r="I28">
        <v>119660</v>
      </c>
    </row>
    <row r="29" spans="1:9" x14ac:dyDescent="0.25">
      <c r="A29">
        <v>28</v>
      </c>
      <c r="B29" t="s">
        <v>52</v>
      </c>
      <c r="C29" t="s">
        <v>27</v>
      </c>
      <c r="D29">
        <v>16</v>
      </c>
      <c r="E29" t="s">
        <v>11</v>
      </c>
      <c r="F29">
        <v>29</v>
      </c>
      <c r="G29" t="s">
        <v>12</v>
      </c>
      <c r="H29" t="s">
        <v>21</v>
      </c>
      <c r="I29">
        <v>118179</v>
      </c>
    </row>
    <row r="30" spans="1:9" x14ac:dyDescent="0.25">
      <c r="A30">
        <v>29</v>
      </c>
      <c r="B30" t="s">
        <v>53</v>
      </c>
      <c r="C30" t="s">
        <v>10</v>
      </c>
      <c r="D30">
        <v>13</v>
      </c>
      <c r="E30" t="s">
        <v>20</v>
      </c>
      <c r="F30">
        <v>48</v>
      </c>
      <c r="G30" t="s">
        <v>24</v>
      </c>
      <c r="H30" t="s">
        <v>17</v>
      </c>
      <c r="I30">
        <v>65764</v>
      </c>
    </row>
    <row r="31" spans="1:9" x14ac:dyDescent="0.25">
      <c r="A31">
        <v>30</v>
      </c>
      <c r="B31" t="s">
        <v>54</v>
      </c>
      <c r="C31" t="s">
        <v>10</v>
      </c>
      <c r="D31">
        <v>18</v>
      </c>
      <c r="E31" t="s">
        <v>20</v>
      </c>
      <c r="F31">
        <v>30</v>
      </c>
      <c r="G31" t="s">
        <v>24</v>
      </c>
      <c r="H31" t="s">
        <v>13</v>
      </c>
      <c r="I31">
        <v>99543</v>
      </c>
    </row>
    <row r="32" spans="1:9" x14ac:dyDescent="0.25">
      <c r="A32">
        <v>31</v>
      </c>
      <c r="B32" t="s">
        <v>55</v>
      </c>
      <c r="C32" t="s">
        <v>19</v>
      </c>
      <c r="D32">
        <v>15</v>
      </c>
      <c r="E32" t="s">
        <v>16</v>
      </c>
      <c r="F32">
        <v>54</v>
      </c>
      <c r="G32" t="s">
        <v>12</v>
      </c>
      <c r="H32" t="s">
        <v>21</v>
      </c>
      <c r="I32">
        <v>70714</v>
      </c>
    </row>
    <row r="33" spans="1:9" x14ac:dyDescent="0.25">
      <c r="A33">
        <v>32</v>
      </c>
      <c r="B33" t="s">
        <v>56</v>
      </c>
      <c r="C33" t="s">
        <v>10</v>
      </c>
      <c r="D33">
        <v>13</v>
      </c>
      <c r="E33" t="s">
        <v>11</v>
      </c>
      <c r="F33">
        <v>45</v>
      </c>
      <c r="G33" t="s">
        <v>12</v>
      </c>
      <c r="H33" t="s">
        <v>21</v>
      </c>
      <c r="I33">
        <v>81835</v>
      </c>
    </row>
    <row r="34" spans="1:9" x14ac:dyDescent="0.25">
      <c r="A34">
        <v>33</v>
      </c>
      <c r="B34" t="s">
        <v>57</v>
      </c>
      <c r="C34" t="s">
        <v>10</v>
      </c>
      <c r="D34">
        <v>9</v>
      </c>
      <c r="E34" t="s">
        <v>11</v>
      </c>
      <c r="F34">
        <v>36</v>
      </c>
      <c r="G34" t="s">
        <v>24</v>
      </c>
      <c r="H34" t="s">
        <v>17</v>
      </c>
      <c r="I34">
        <v>127946</v>
      </c>
    </row>
    <row r="35" spans="1:9" x14ac:dyDescent="0.25">
      <c r="A35">
        <v>34</v>
      </c>
      <c r="B35" t="s">
        <v>58</v>
      </c>
      <c r="C35" t="s">
        <v>43</v>
      </c>
      <c r="D35">
        <v>15</v>
      </c>
      <c r="E35" t="s">
        <v>16</v>
      </c>
      <c r="F35">
        <v>53</v>
      </c>
      <c r="G35" t="s">
        <v>12</v>
      </c>
      <c r="H35" t="s">
        <v>13</v>
      </c>
      <c r="I35">
        <v>134616</v>
      </c>
    </row>
    <row r="36" spans="1:9" x14ac:dyDescent="0.25">
      <c r="A36">
        <v>35</v>
      </c>
      <c r="B36" t="s">
        <v>59</v>
      </c>
      <c r="C36" t="s">
        <v>19</v>
      </c>
      <c r="D36">
        <v>13</v>
      </c>
      <c r="E36" t="s">
        <v>11</v>
      </c>
      <c r="F36">
        <v>53</v>
      </c>
      <c r="G36" t="s">
        <v>24</v>
      </c>
      <c r="H36" t="s">
        <v>17</v>
      </c>
      <c r="I36">
        <v>130983</v>
      </c>
    </row>
    <row r="37" spans="1:9" x14ac:dyDescent="0.25">
      <c r="A37">
        <v>36</v>
      </c>
      <c r="B37" t="s">
        <v>60</v>
      </c>
      <c r="C37" t="s">
        <v>15</v>
      </c>
      <c r="D37">
        <v>1</v>
      </c>
      <c r="E37" t="s">
        <v>11</v>
      </c>
      <c r="F37">
        <v>45</v>
      </c>
      <c r="G37" t="s">
        <v>12</v>
      </c>
      <c r="H37" t="s">
        <v>13</v>
      </c>
      <c r="I37">
        <v>98744</v>
      </c>
    </row>
    <row r="38" spans="1:9" x14ac:dyDescent="0.25">
      <c r="A38">
        <v>37</v>
      </c>
      <c r="B38" t="s">
        <v>61</v>
      </c>
      <c r="C38" t="s">
        <v>19</v>
      </c>
      <c r="D38">
        <v>7</v>
      </c>
      <c r="E38" t="s">
        <v>20</v>
      </c>
      <c r="F38">
        <v>33</v>
      </c>
      <c r="G38" t="s">
        <v>24</v>
      </c>
      <c r="H38" t="s">
        <v>41</v>
      </c>
      <c r="I38">
        <v>81491</v>
      </c>
    </row>
    <row r="39" spans="1:9" x14ac:dyDescent="0.25">
      <c r="A39">
        <v>38</v>
      </c>
      <c r="B39" t="s">
        <v>62</v>
      </c>
      <c r="C39" t="s">
        <v>15</v>
      </c>
      <c r="D39">
        <v>9</v>
      </c>
      <c r="E39" t="s">
        <v>11</v>
      </c>
      <c r="F39">
        <v>23</v>
      </c>
      <c r="G39" t="s">
        <v>24</v>
      </c>
      <c r="H39" t="s">
        <v>28</v>
      </c>
      <c r="I39">
        <v>149123</v>
      </c>
    </row>
    <row r="40" spans="1:9" x14ac:dyDescent="0.25">
      <c r="A40">
        <v>39</v>
      </c>
      <c r="B40" t="s">
        <v>63</v>
      </c>
      <c r="C40" t="s">
        <v>43</v>
      </c>
      <c r="D40">
        <v>1</v>
      </c>
      <c r="E40" t="s">
        <v>11</v>
      </c>
      <c r="F40">
        <v>24</v>
      </c>
      <c r="G40" t="s">
        <v>24</v>
      </c>
      <c r="H40" t="s">
        <v>28</v>
      </c>
      <c r="I40">
        <v>43589</v>
      </c>
    </row>
    <row r="41" spans="1:9" x14ac:dyDescent="0.25">
      <c r="A41">
        <v>40</v>
      </c>
      <c r="B41" t="s">
        <v>64</v>
      </c>
      <c r="C41" t="s">
        <v>27</v>
      </c>
      <c r="D41">
        <v>12</v>
      </c>
      <c r="E41" t="s">
        <v>16</v>
      </c>
      <c r="F41">
        <v>38</v>
      </c>
      <c r="G41" t="s">
        <v>12</v>
      </c>
      <c r="H41" t="s">
        <v>28</v>
      </c>
      <c r="I41">
        <v>68484</v>
      </c>
    </row>
    <row r="42" spans="1:9" x14ac:dyDescent="0.25">
      <c r="A42">
        <v>41</v>
      </c>
      <c r="B42" t="s">
        <v>65</v>
      </c>
      <c r="C42" t="s">
        <v>10</v>
      </c>
      <c r="D42">
        <v>8</v>
      </c>
      <c r="E42" t="s">
        <v>16</v>
      </c>
      <c r="F42">
        <v>23</v>
      </c>
      <c r="G42" t="s">
        <v>12</v>
      </c>
      <c r="H42" t="s">
        <v>17</v>
      </c>
      <c r="I42">
        <v>107989</v>
      </c>
    </row>
    <row r="43" spans="1:9" x14ac:dyDescent="0.25">
      <c r="A43">
        <v>42</v>
      </c>
      <c r="B43" t="s">
        <v>66</v>
      </c>
      <c r="C43" t="s">
        <v>43</v>
      </c>
      <c r="D43">
        <v>11</v>
      </c>
      <c r="E43" t="s">
        <v>23</v>
      </c>
      <c r="F43">
        <v>23</v>
      </c>
      <c r="G43" t="s">
        <v>24</v>
      </c>
      <c r="H43" t="s">
        <v>41</v>
      </c>
      <c r="I43">
        <v>107989</v>
      </c>
    </row>
    <row r="44" spans="1:9" x14ac:dyDescent="0.25">
      <c r="A44">
        <v>43</v>
      </c>
      <c r="B44" t="s">
        <v>67</v>
      </c>
      <c r="C44" t="s">
        <v>10</v>
      </c>
      <c r="D44">
        <v>19</v>
      </c>
      <c r="E44" t="s">
        <v>20</v>
      </c>
      <c r="F44">
        <v>49</v>
      </c>
      <c r="G44" t="s">
        <v>12</v>
      </c>
      <c r="H44" t="s">
        <v>13</v>
      </c>
      <c r="I44">
        <v>68525</v>
      </c>
    </row>
    <row r="45" spans="1:9" x14ac:dyDescent="0.25">
      <c r="A45">
        <v>44</v>
      </c>
      <c r="B45" t="s">
        <v>68</v>
      </c>
      <c r="C45" t="s">
        <v>27</v>
      </c>
      <c r="D45">
        <v>17</v>
      </c>
      <c r="E45" t="s">
        <v>11</v>
      </c>
      <c r="F45">
        <v>44</v>
      </c>
      <c r="G45" t="s">
        <v>24</v>
      </c>
      <c r="H45" t="s">
        <v>21</v>
      </c>
      <c r="I45">
        <v>72202</v>
      </c>
    </row>
    <row r="46" spans="1:9" x14ac:dyDescent="0.25">
      <c r="A46">
        <v>45</v>
      </c>
      <c r="B46" t="s">
        <v>69</v>
      </c>
      <c r="C46" t="s">
        <v>27</v>
      </c>
      <c r="D46">
        <v>8</v>
      </c>
      <c r="E46" t="s">
        <v>11</v>
      </c>
      <c r="F46">
        <v>53</v>
      </c>
      <c r="G46" t="s">
        <v>24</v>
      </c>
      <c r="H46" t="s">
        <v>13</v>
      </c>
      <c r="I46">
        <v>57635</v>
      </c>
    </row>
    <row r="47" spans="1:9" x14ac:dyDescent="0.25">
      <c r="A47">
        <v>46</v>
      </c>
      <c r="B47" t="s">
        <v>70</v>
      </c>
      <c r="C47" t="s">
        <v>43</v>
      </c>
      <c r="D47">
        <v>3</v>
      </c>
      <c r="E47" t="s">
        <v>23</v>
      </c>
      <c r="F47">
        <v>54</v>
      </c>
      <c r="G47" t="s">
        <v>12</v>
      </c>
      <c r="H47" t="s">
        <v>21</v>
      </c>
      <c r="I47">
        <v>88208</v>
      </c>
    </row>
    <row r="48" spans="1:9" x14ac:dyDescent="0.25">
      <c r="A48">
        <v>47</v>
      </c>
      <c r="B48" t="s">
        <v>71</v>
      </c>
      <c r="C48" t="s">
        <v>27</v>
      </c>
      <c r="D48">
        <v>3</v>
      </c>
      <c r="E48" t="s">
        <v>11</v>
      </c>
      <c r="F48">
        <v>22</v>
      </c>
      <c r="G48" t="s">
        <v>12</v>
      </c>
      <c r="H48" t="s">
        <v>13</v>
      </c>
      <c r="I48">
        <v>58828</v>
      </c>
    </row>
    <row r="49" spans="1:10" x14ac:dyDescent="0.25">
      <c r="A49">
        <v>48</v>
      </c>
      <c r="B49" t="s">
        <v>72</v>
      </c>
      <c r="C49" t="s">
        <v>15</v>
      </c>
      <c r="D49">
        <v>1</v>
      </c>
      <c r="E49" t="s">
        <v>20</v>
      </c>
      <c r="F49">
        <v>40</v>
      </c>
      <c r="G49" t="s">
        <v>24</v>
      </c>
      <c r="H49" t="s">
        <v>41</v>
      </c>
      <c r="I49">
        <v>43711</v>
      </c>
    </row>
    <row r="50" spans="1:10" ht="15.75" thickBot="1" x14ac:dyDescent="0.3">
      <c r="A50">
        <v>49</v>
      </c>
      <c r="B50" t="s">
        <v>73</v>
      </c>
      <c r="C50" t="s">
        <v>27</v>
      </c>
      <c r="D50">
        <v>5</v>
      </c>
      <c r="E50" t="s">
        <v>23</v>
      </c>
      <c r="F50">
        <v>23</v>
      </c>
      <c r="G50" t="s">
        <v>12</v>
      </c>
      <c r="H50" t="s">
        <v>21</v>
      </c>
      <c r="I50">
        <v>28420</v>
      </c>
    </row>
    <row r="51" spans="1:10" ht="16.5" thickTop="1" thickBot="1" x14ac:dyDescent="0.3">
      <c r="A51">
        <v>50</v>
      </c>
      <c r="B51" t="s">
        <v>74</v>
      </c>
      <c r="C51" t="s">
        <v>10</v>
      </c>
      <c r="D51">
        <v>10</v>
      </c>
      <c r="E51" t="s">
        <v>20</v>
      </c>
      <c r="F51">
        <v>47</v>
      </c>
      <c r="G51" t="s">
        <v>12</v>
      </c>
      <c r="H51" t="s">
        <v>17</v>
      </c>
      <c r="I51">
        <v>121752</v>
      </c>
      <c r="J51" s="1"/>
    </row>
    <row r="52" spans="1:10" ht="15.75" thickTop="1" x14ac:dyDescent="0.25">
      <c r="B52" t="s">
        <v>76</v>
      </c>
      <c r="D52">
        <f>AVERAGE(D2:D51)</f>
        <v>9.9</v>
      </c>
      <c r="F52">
        <f>AVERAGE(F2:F51)</f>
        <v>39.76</v>
      </c>
      <c r="I52">
        <f>AVERAGE(I2:I51)</f>
        <v>83224.34</v>
      </c>
    </row>
    <row r="53" spans="1:10" x14ac:dyDescent="0.25">
      <c r="B53" t="s">
        <v>75</v>
      </c>
      <c r="D53">
        <f>MEDIAN(D2:D51)</f>
        <v>10</v>
      </c>
      <c r="F53">
        <f>MEDIAN(F2:F51)</f>
        <v>43.5</v>
      </c>
      <c r="I53">
        <f>MEDIAN(I2:I51)</f>
        <v>76711</v>
      </c>
    </row>
    <row r="54" spans="1:10" x14ac:dyDescent="0.25">
      <c r="B54" t="s">
        <v>77</v>
      </c>
      <c r="D54">
        <f>MODE(D2:D51)</f>
        <v>8</v>
      </c>
      <c r="F54">
        <f>MODE(F2:F51)</f>
        <v>53</v>
      </c>
      <c r="I54">
        <f>MODE(I2:I51)</f>
        <v>107989</v>
      </c>
    </row>
    <row r="55" spans="1:10" x14ac:dyDescent="0.25">
      <c r="B55" t="s">
        <v>78</v>
      </c>
      <c r="D55">
        <f>MAX(D2:D51)-MIN(D2:D51)</f>
        <v>18</v>
      </c>
      <c r="F55">
        <f>MAX(F2:F51)-MIN(F2:F51)</f>
        <v>35</v>
      </c>
      <c r="I55">
        <f>MAX(I2:I51)-MIN(I2:I51)</f>
        <v>120703</v>
      </c>
    </row>
    <row r="56" spans="1:10" x14ac:dyDescent="0.25">
      <c r="B56" t="s">
        <v>79</v>
      </c>
      <c r="D56">
        <f>VAR(D2:D51)</f>
        <v>28.622448979591837</v>
      </c>
      <c r="F56">
        <f>VAR(F2:F51)</f>
        <v>133.16571428571419</v>
      </c>
      <c r="I56">
        <f>VAR(I2:I51)</f>
        <v>1127207350.4330606</v>
      </c>
    </row>
    <row r="57" spans="1:10" x14ac:dyDescent="0.25">
      <c r="B57" t="s">
        <v>81</v>
      </c>
      <c r="D57">
        <f>STDEV(D2:D51)</f>
        <v>5.3499952317354298</v>
      </c>
      <c r="F57">
        <f>STDEV(F2:F51)</f>
        <v>11.539744983565026</v>
      </c>
      <c r="I57">
        <f>STDEV(I2:I51)</f>
        <v>33573.908775015465</v>
      </c>
    </row>
    <row r="58" spans="1:10" x14ac:dyDescent="0.25">
      <c r="B58" t="s">
        <v>80</v>
      </c>
      <c r="D58">
        <f>CORREL(D2:D51,F2:F51)</f>
        <v>0.13083685717836047</v>
      </c>
      <c r="F58">
        <f>CORREL(F2:F51,D2:D51)</f>
        <v>0.13083685717836047</v>
      </c>
      <c r="I58">
        <f>CORREL(I2:I51,D2:D51)</f>
        <v>7.9951066006040641E-2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employee_salary_dataset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2026-05-26T09:02:29Z</dcterms:created>
  <dcterms:modified xsi:type="dcterms:W3CDTF">2026-05-26T10:28:07Z</dcterms:modified>
</cp:coreProperties>
</file>