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TS\Downloads\"/>
    </mc:Choice>
  </mc:AlternateContent>
  <xr:revisionPtr revIDLastSave="0" documentId="8_{4B922101-1645-4F19-99B1-68FE9D56B3AE}" xr6:coauthVersionLast="47" xr6:coauthVersionMax="47" xr10:uidLastSave="{00000000-0000-0000-0000-000000000000}"/>
  <bookViews>
    <workbookView xWindow="-120" yWindow="-120" windowWidth="29040" windowHeight="15720" activeTab="2" xr2:uid="{E7C0BDFF-42B4-41CD-B2F1-22D05C8AAAD6}"/>
  </bookViews>
  <sheets>
    <sheet name="Sheet2" sheetId="2" r:id="rId1"/>
    <sheet name="Sheet3" sheetId="3" r:id="rId2"/>
    <sheet name="Sheet1" sheetId="1" r:id="rId3"/>
  </sheets>
  <definedNames>
    <definedName name="_xlchart.v1.0" hidden="1">Sheet1!$A$2:$A$14</definedName>
    <definedName name="_xlchart.v1.1" hidden="1">Sheet1!$B$1</definedName>
    <definedName name="_xlchart.v1.2" hidden="1">Sheet1!$B$2:$B$14</definedName>
    <definedName name="_xlchart.v1.3" hidden="1">Sheet1!$C$1</definedName>
    <definedName name="_xlchart.v1.4" hidden="1">Sheet1!$C$2:$C$14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1" l="1"/>
  <c r="B21" i="1"/>
  <c r="B20" i="1"/>
  <c r="B19" i="1"/>
  <c r="B18" i="1"/>
  <c r="B16" i="1"/>
  <c r="B17" i="1"/>
  <c r="B15" i="1"/>
</calcChain>
</file>

<file path=xl/sharedStrings.xml><?xml version="1.0" encoding="utf-8"?>
<sst xmlns="http://schemas.openxmlformats.org/spreadsheetml/2006/main" count="64" uniqueCount="57">
  <si>
    <t>Name</t>
  </si>
  <si>
    <t>Marks</t>
  </si>
  <si>
    <t>Study Hours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</si>
  <si>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</si>
  <si>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</si>
  <si>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</si>
  <si>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</si>
  <si>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</si>
  <si>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</si>
  <si>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</si>
  <si>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</si>
  <si>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</si>
  <si>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</si>
  <si>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</si>
  <si>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</si>
  <si>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</si>
  <si>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sum</t>
  </si>
  <si>
    <t>Mean</t>
  </si>
  <si>
    <t>Median</t>
  </si>
  <si>
    <t>Mode</t>
  </si>
  <si>
    <t>Range</t>
  </si>
  <si>
    <t>Variance</t>
  </si>
  <si>
    <t>standard deviation</t>
  </si>
  <si>
    <t>Corelation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</si>
  <si>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</si>
  <si>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</si>
  <si>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</si>
  <si>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</si>
  <si>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</si>
  <si>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</si>
  <si>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</si>
  <si>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</si>
  <si>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</si>
  <si>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</si>
  <si>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</si>
  <si>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</si>
  <si>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</si>
  <si>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</si>
  <si>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</si>
  <si>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</si>
  <si>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</si>
  <si>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</si>
  <si>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</si>
  <si>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</si>
  <si>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</si>
  <si>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</si>
  <si>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</si>
  <si>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</si>
  <si>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>Column1</t>
  </si>
  <si>
    <t>Standard Deviation</t>
  </si>
  <si>
    <t>Sample Variance</t>
  </si>
  <si>
    <t>Kurtosis</t>
  </si>
  <si>
    <t>Skewness</t>
  </si>
  <si>
    <t>Minimum</t>
  </si>
  <si>
    <t>Maximum</t>
  </si>
  <si>
    <t>Sum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</si>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</sst>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1" xfId="0" applyBorder="1"/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5358705161854783E-2"/>
          <c:y val="0.12265055409740447"/>
          <c:w val="0.89019685039370078"/>
          <c:h val="0.6149843248760571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Marks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Sheet1!$A$2:$A$14</c:f>
              <c:strCache>
                <c:ptCount val="13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  <c:pt idx="7">
                  <c:v>H</c:v>
                </c:pt>
                <c:pt idx="8">
                  <c:v>I</c:v>
                </c:pt>
                <c:pt idx="9">
                  <c:v>J</c:v>
                </c:pt>
                <c:pt idx="10">
                  <c:v>K</c:v>
                </c:pt>
                <c:pt idx="11">
                  <c:v>L</c:v>
                </c:pt>
                <c:pt idx="12">
                  <c:v>M</c:v>
                </c:pt>
              </c:strCache>
            </c:strRef>
          </c:cat>
          <c:val>
            <c:numRef>
              <c:f>Sheet1!$B$2:$B$14</c:f>
              <c:numCache>
                <c:formatCode>General</c:formatCode>
                <c:ptCount val="13"/>
                <c:pt idx="0">
                  <c:v>90</c:v>
                </c:pt>
                <c:pt idx="1">
                  <c:v>80</c:v>
                </c:pt>
                <c:pt idx="2">
                  <c:v>86</c:v>
                </c:pt>
                <c:pt idx="3">
                  <c:v>45</c:v>
                </c:pt>
                <c:pt idx="4">
                  <c:v>70</c:v>
                </c:pt>
                <c:pt idx="5">
                  <c:v>75</c:v>
                </c:pt>
                <c:pt idx="6">
                  <c:v>84</c:v>
                </c:pt>
                <c:pt idx="7">
                  <c:v>67</c:v>
                </c:pt>
                <c:pt idx="8">
                  <c:v>72</c:v>
                </c:pt>
                <c:pt idx="9">
                  <c:v>60</c:v>
                </c:pt>
                <c:pt idx="10">
                  <c:v>80</c:v>
                </c:pt>
                <c:pt idx="11">
                  <c:v>67</c:v>
                </c:pt>
                <c:pt idx="12">
                  <c:v>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3A-40A8-84CF-212E370136AC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Study Hours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Sheet1!$A$2:$A$14</c:f>
              <c:strCache>
                <c:ptCount val="13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  <c:pt idx="7">
                  <c:v>H</c:v>
                </c:pt>
                <c:pt idx="8">
                  <c:v>I</c:v>
                </c:pt>
                <c:pt idx="9">
                  <c:v>J</c:v>
                </c:pt>
                <c:pt idx="10">
                  <c:v>K</c:v>
                </c:pt>
                <c:pt idx="11">
                  <c:v>L</c:v>
                </c:pt>
                <c:pt idx="12">
                  <c:v>M</c:v>
                </c:pt>
              </c:strCache>
            </c:strRef>
          </c:cat>
          <c:val>
            <c:numRef>
              <c:f>Sheet1!$C$2:$C$14</c:f>
              <c:numCache>
                <c:formatCode>General</c:formatCode>
                <c:ptCount val="13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3</c:v>
                </c:pt>
                <c:pt idx="4">
                  <c:v>6</c:v>
                </c:pt>
                <c:pt idx="5">
                  <c:v>3</c:v>
                </c:pt>
                <c:pt idx="6">
                  <c:v>2</c:v>
                </c:pt>
                <c:pt idx="7">
                  <c:v>1</c:v>
                </c:pt>
                <c:pt idx="8">
                  <c:v>8</c:v>
                </c:pt>
                <c:pt idx="9">
                  <c:v>5</c:v>
                </c:pt>
                <c:pt idx="10">
                  <c:v>4</c:v>
                </c:pt>
                <c:pt idx="11">
                  <c:v>5</c:v>
                </c:pt>
                <c:pt idx="1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3A-40A8-84CF-212E370136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44092656"/>
        <c:axId val="1044089776"/>
      </c:barChart>
      <c:catAx>
        <c:axId val="1044092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4089776"/>
        <c:crosses val="autoZero"/>
        <c:auto val="1"/>
        <c:lblAlgn val="ctr"/>
        <c:lblOffset val="100"/>
        <c:noMultiLvlLbl val="0"/>
      </c:catAx>
      <c:valAx>
        <c:axId val="1044089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4092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3804-48DC-B138-2EB971DE6A6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3804-48DC-B138-2EB971DE6A6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3804-48DC-B138-2EB971DE6A6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3804-48DC-B138-2EB971DE6A6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3804-48DC-B138-2EB971DE6A6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3804-48DC-B138-2EB971DE6A66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3804-48DC-B138-2EB971DE6A66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3804-48DC-B138-2EB971DE6A66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3804-48DC-B138-2EB971DE6A66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3804-48DC-B138-2EB971DE6A66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3804-48DC-B138-2EB971DE6A66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3804-48DC-B138-2EB971DE6A66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9-3804-48DC-B138-2EB971DE6A66}"/>
              </c:ext>
            </c:extLst>
          </c:dPt>
          <c:cat>
            <c:strRef>
              <c:f>Sheet1!$A$2:$A$14</c:f>
              <c:strCache>
                <c:ptCount val="13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  <c:pt idx="7">
                  <c:v>H</c:v>
                </c:pt>
                <c:pt idx="8">
                  <c:v>I</c:v>
                </c:pt>
                <c:pt idx="9">
                  <c:v>J</c:v>
                </c:pt>
                <c:pt idx="10">
                  <c:v>K</c:v>
                </c:pt>
                <c:pt idx="11">
                  <c:v>L</c:v>
                </c:pt>
                <c:pt idx="12">
                  <c:v>M</c:v>
                </c:pt>
              </c:strCache>
            </c:strRef>
          </c:cat>
          <c:val>
            <c:numRef>
              <c:f>Sheet1!$B$2:$B$14</c:f>
              <c:numCache>
                <c:formatCode>General</c:formatCode>
                <c:ptCount val="13"/>
                <c:pt idx="0">
                  <c:v>90</c:v>
                </c:pt>
                <c:pt idx="1">
                  <c:v>80</c:v>
                </c:pt>
                <c:pt idx="2">
                  <c:v>86</c:v>
                </c:pt>
                <c:pt idx="3">
                  <c:v>45</c:v>
                </c:pt>
                <c:pt idx="4">
                  <c:v>70</c:v>
                </c:pt>
                <c:pt idx="5">
                  <c:v>75</c:v>
                </c:pt>
                <c:pt idx="6">
                  <c:v>84</c:v>
                </c:pt>
                <c:pt idx="7">
                  <c:v>67</c:v>
                </c:pt>
                <c:pt idx="8">
                  <c:v>72</c:v>
                </c:pt>
                <c:pt idx="9">
                  <c:v>60</c:v>
                </c:pt>
                <c:pt idx="10">
                  <c:v>80</c:v>
                </c:pt>
                <c:pt idx="11">
                  <c:v>67</c:v>
                </c:pt>
                <c:pt idx="12">
                  <c:v>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7B-4C41-ABBA-9B2A0981C828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B-3804-48DC-B138-2EB971DE6A6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D-3804-48DC-B138-2EB971DE6A6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F-3804-48DC-B138-2EB971DE6A6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1-3804-48DC-B138-2EB971DE6A6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3-3804-48DC-B138-2EB971DE6A6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5-3804-48DC-B138-2EB971DE6A66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7-3804-48DC-B138-2EB971DE6A66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9-3804-48DC-B138-2EB971DE6A66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B-3804-48DC-B138-2EB971DE6A66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D-3804-48DC-B138-2EB971DE6A66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F-3804-48DC-B138-2EB971DE6A66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1-3804-48DC-B138-2EB971DE6A66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3-3804-48DC-B138-2EB971DE6A66}"/>
              </c:ext>
            </c:extLst>
          </c:dPt>
          <c:cat>
            <c:strRef>
              <c:f>Sheet1!$A$2:$A$14</c:f>
              <c:strCache>
                <c:ptCount val="13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  <c:pt idx="7">
                  <c:v>H</c:v>
                </c:pt>
                <c:pt idx="8">
                  <c:v>I</c:v>
                </c:pt>
                <c:pt idx="9">
                  <c:v>J</c:v>
                </c:pt>
                <c:pt idx="10">
                  <c:v>K</c:v>
                </c:pt>
                <c:pt idx="11">
                  <c:v>L</c:v>
                </c:pt>
                <c:pt idx="12">
                  <c:v>M</c:v>
                </c:pt>
              </c:strCache>
            </c:strRef>
          </c:cat>
          <c:val>
            <c:numRef>
              <c:f>Sheet1!$C$2:$C$14</c:f>
              <c:numCache>
                <c:formatCode>General</c:formatCode>
                <c:ptCount val="13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3</c:v>
                </c:pt>
                <c:pt idx="4">
                  <c:v>6</c:v>
                </c:pt>
                <c:pt idx="5">
                  <c:v>3</c:v>
                </c:pt>
                <c:pt idx="6">
                  <c:v>2</c:v>
                </c:pt>
                <c:pt idx="7">
                  <c:v>1</c:v>
                </c:pt>
                <c:pt idx="8">
                  <c:v>8</c:v>
                </c:pt>
                <c:pt idx="9">
                  <c:v>5</c:v>
                </c:pt>
                <c:pt idx="10">
                  <c:v>4</c:v>
                </c:pt>
                <c:pt idx="11">
                  <c:v>5</c:v>
                </c:pt>
                <c:pt idx="1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A7B-4C41-ABBA-9B2A0981C8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  <cx:data id="1">
      <cx:strDim type="cat">
        <cx:f>_xlchart.v1.0</cx:f>
      </cx:strDim>
      <cx:numDim type="val">
        <cx:f>_xlchart.v1.4</cx:f>
      </cx:numDim>
    </cx:data>
  </cx:chartData>
  <cx:chart>
    <cx:title pos="t" align="ctr" overlay="0"/>
    <cx:plotArea>
      <cx:plotAreaRegion>
        <cx:series layoutId="clusteredColumn" uniqueId="{7E7D255B-7B52-472A-ABA1-CF43F2DAA638}" formatIdx="0">
          <cx:tx>
            <cx:txData>
              <cx:f>_xlchart.v1.1</cx:f>
              <cx:v>Marks</cx:v>
            </cx:txData>
          </cx:tx>
          <cx:dataId val="0"/>
          <cx:layoutPr>
            <cx:aggregation/>
          </cx:layoutPr>
          <cx:axisId val="1"/>
        </cx:series>
        <cx:series layoutId="paretoLine" ownerIdx="0" uniqueId="{6C0398BD-4876-4325-86C7-895EBD1832E2}" formatIdx="1">
          <cx:axisId val="2"/>
        </cx:series>
        <cx:series layoutId="clusteredColumn" hidden="1" uniqueId="{F16E7D14-FB4F-46C9-B840-D4162EF87245}" formatIdx="2">
          <cx:tx>
            <cx:txData>
              <cx:f>_xlchart.v1.3</cx:f>
              <cx:v>Study Hours</cx:v>
            </cx:txData>
          </cx:tx>
          <cx:dataId val="1"/>
          <cx:layoutPr>
            <cx:aggregation/>
          </cx:layoutPr>
          <cx:axisId val="1"/>
        </cx:series>
        <cx:series layoutId="paretoLine" ownerIdx="2" uniqueId="{FAFD5FE8-FB00-409E-A5DD-76C86816679E}" formatIdx="3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microsoft.com/office/2014/relationships/chartEx" Target="../charts/chartEx1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438150</xdr:colOff>
      <xdr:row>0</xdr:row>
      <xdr:rowOff>42862</xdr:rowOff>
    </xdr:from>
    <xdr:to>
      <xdr:col>12</xdr:col>
      <xdr:colOff>133350</xdr:colOff>
      <xdr:row>14</xdr:row>
      <xdr:rowOff>119062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6E6048D-FD5D-3975-B42B-4211DB062A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266700</xdr:colOff>
      <xdr:row>0</xdr:row>
      <xdr:rowOff>42862</xdr:rowOff>
    </xdr:from>
    <xdr:to>
      <xdr:col>19</xdr:col>
      <xdr:colOff>571500</xdr:colOff>
      <xdr:row>14</xdr:row>
      <xdr:rowOff>119062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0" name="Chart 9">
              <a:extLst>
                <a:ext uri="{FF2B5EF4-FFF2-40B4-BE49-F238E27FC236}">
                  <a16:creationId xmlns:a16="http://schemas.microsoft.com/office/drawing/2014/main" id="{C8F8B147-D375-B837-7704-35096487BFF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753475" y="42862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4</xdr:col>
      <xdr:colOff>485775</xdr:colOff>
      <xdr:row>15</xdr:row>
      <xdr:rowOff>61912</xdr:rowOff>
    </xdr:from>
    <xdr:to>
      <xdr:col>12</xdr:col>
      <xdr:colOff>180975</xdr:colOff>
      <xdr:row>29</xdr:row>
      <xdr:rowOff>138112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636D2E04-BE96-48E8-96A1-F72091F0E4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61FDC-75BD-459C-A4D3-DAFC29A0477A}">
  <dimension ref="A1:I18"/>
  <sheetViews>
    <sheetView workbookViewId="0">
      <selection activeCell="F24" sqref="F24"/>
    </sheetView>
  </sheetViews>
  <sheetFormatPr defaultRowHeight="15" x14ac:dyDescent="0.25"/>
  <sheetData>
    <row r="1" spans="1:9" x14ac:dyDescent="0.25">
      <c r="A1" t="s">
        <v>24</v>
      </c>
    </row>
    <row r="2" spans="1:9" ht="15.75" thickBot="1" x14ac:dyDescent="0.3"/>
    <row r="3" spans="1:9" x14ac:dyDescent="0.25">
      <c r="A3" s="4" t="s">
        <v>25</v>
      </c>
      <c r="B3" s="4"/>
    </row>
    <row r="4" spans="1:9" x14ac:dyDescent="0.25">
      <c r="A4" t="s">
        <v>26</v>
      </c>
      <c r="B4">
        <v>0.19953789163167313</v>
      </c>
    </row>
    <row r="5" spans="1:9" x14ac:dyDescent="0.25">
      <c r="A5" t="s">
        <v>27</v>
      </c>
      <c r="B5">
        <v>3.9815370196813332E-2</v>
      </c>
    </row>
    <row r="6" spans="1:9" x14ac:dyDescent="0.25">
      <c r="A6" t="s">
        <v>28</v>
      </c>
      <c r="B6">
        <v>-4.7474141603476364E-2</v>
      </c>
    </row>
    <row r="7" spans="1:9" x14ac:dyDescent="0.25">
      <c r="A7" t="s">
        <v>29</v>
      </c>
      <c r="B7">
        <v>12.50261460258719</v>
      </c>
    </row>
    <row r="8" spans="1:9" ht="15.75" thickBot="1" x14ac:dyDescent="0.3">
      <c r="A8" s="2" t="s">
        <v>30</v>
      </c>
      <c r="B8" s="2">
        <v>13</v>
      </c>
    </row>
    <row r="10" spans="1:9" ht="15.75" thickBot="1" x14ac:dyDescent="0.3">
      <c r="A10" t="s">
        <v>31</v>
      </c>
    </row>
    <row r="11" spans="1:9" x14ac:dyDescent="0.25">
      <c r="A11" s="3"/>
      <c r="B11" s="3" t="s">
        <v>36</v>
      </c>
      <c r="C11" s="3" t="s">
        <v>37</v>
      </c>
      <c r="D11" s="3" t="s">
        <v>38</v>
      </c>
      <c r="E11" s="3" t="s">
        <v>8</v>
      </c>
      <c r="F11" s="3" t="s">
        <v>39</v>
      </c>
    </row>
    <row r="12" spans="1:9" x14ac:dyDescent="0.25">
      <c r="A12" t="s">
        <v>32</v>
      </c>
      <c r="B12">
        <v>1</v>
      </c>
      <c r="C12">
        <v>71.300139860139552</v>
      </c>
      <c r="D12">
        <v>71.300139860139552</v>
      </c>
      <c r="E12">
        <v>0.45613005933527506</v>
      </c>
      <c r="F12">
        <v>0.51338504813766694</v>
      </c>
    </row>
    <row r="13" spans="1:9" x14ac:dyDescent="0.25">
      <c r="A13" t="s">
        <v>33</v>
      </c>
      <c r="B13">
        <v>11</v>
      </c>
      <c r="C13">
        <v>1719.4690909090909</v>
      </c>
      <c r="D13">
        <v>156.31537190082645</v>
      </c>
    </row>
    <row r="14" spans="1:9" ht="15.75" thickBot="1" x14ac:dyDescent="0.3">
      <c r="A14" s="2" t="s">
        <v>34</v>
      </c>
      <c r="B14" s="2">
        <v>12</v>
      </c>
      <c r="C14" s="2">
        <v>1790.7692307692305</v>
      </c>
      <c r="D14" s="2"/>
      <c r="E14" s="2"/>
      <c r="F14" s="2"/>
    </row>
    <row r="15" spans="1:9" ht="15.75" thickBot="1" x14ac:dyDescent="0.3"/>
    <row r="16" spans="1:9" x14ac:dyDescent="0.25">
      <c r="A16" s="3"/>
      <c r="B16" s="3" t="s">
        <v>40</v>
      </c>
      <c r="C16" s="3" t="s">
        <v>29</v>
      </c>
      <c r="D16" s="3" t="s">
        <v>41</v>
      </c>
      <c r="E16" s="3" t="s">
        <v>42</v>
      </c>
      <c r="F16" s="3" t="s">
        <v>43</v>
      </c>
      <c r="G16" s="3" t="s">
        <v>44</v>
      </c>
      <c r="H16" s="3" t="s">
        <v>45</v>
      </c>
      <c r="I16" s="3" t="s">
        <v>46</v>
      </c>
    </row>
    <row r="17" spans="1:9" x14ac:dyDescent="0.25">
      <c r="A17" t="s">
        <v>35</v>
      </c>
      <c r="B17">
        <v>78.585454545454553</v>
      </c>
      <c r="C17">
        <v>8.0321614233017904</v>
      </c>
      <c r="D17">
        <v>9.7838490045124527</v>
      </c>
      <c r="E17">
        <v>9.1931124952525145E-7</v>
      </c>
      <c r="F17">
        <v>60.906786449306779</v>
      </c>
      <c r="G17">
        <v>96.264122641602327</v>
      </c>
      <c r="H17">
        <v>60.906786449306779</v>
      </c>
      <c r="I17">
        <v>96.264122641602327</v>
      </c>
    </row>
    <row r="18" spans="1:9" ht="15.75" thickBot="1" x14ac:dyDescent="0.3">
      <c r="A18" s="2" t="s">
        <v>47</v>
      </c>
      <c r="B18" s="2">
        <v>-1.2981818181818183</v>
      </c>
      <c r="C18" s="2">
        <v>1.9221672591638199</v>
      </c>
      <c r="D18" s="2">
        <v>-0.67537401440629707</v>
      </c>
      <c r="E18" s="2">
        <v>0.51338504813766583</v>
      </c>
      <c r="F18" s="2">
        <v>-5.5288434308154049</v>
      </c>
      <c r="G18" s="2">
        <v>2.9324797944517678</v>
      </c>
      <c r="H18" s="2">
        <v>-5.5288434308154049</v>
      </c>
      <c r="I18" s="2">
        <v>2.9324797944517678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83F6B-A6DB-4B3D-A1DE-FFEE18202050}">
  <dimension ref="A1:B15"/>
  <sheetViews>
    <sheetView workbookViewId="0">
      <selection activeCell="E14" sqref="E14"/>
    </sheetView>
  </sheetViews>
  <sheetFormatPr defaultRowHeight="15" x14ac:dyDescent="0.25"/>
  <sheetData>
    <row r="1" spans="1:2" x14ac:dyDescent="0.25">
      <c r="A1" s="4" t="s">
        <v>48</v>
      </c>
      <c r="B1" s="4"/>
    </row>
    <row r="3" spans="1:2" x14ac:dyDescent="0.25">
      <c r="A3" t="s">
        <v>17</v>
      </c>
      <c r="B3">
        <v>73.692307692307693</v>
      </c>
    </row>
    <row r="4" spans="1:2" x14ac:dyDescent="0.25">
      <c r="A4" t="s">
        <v>29</v>
      </c>
      <c r="B4">
        <v>3.3881100839300404</v>
      </c>
    </row>
    <row r="5" spans="1:2" x14ac:dyDescent="0.25">
      <c r="A5" t="s">
        <v>18</v>
      </c>
      <c r="B5">
        <v>75</v>
      </c>
    </row>
    <row r="6" spans="1:2" x14ac:dyDescent="0.25">
      <c r="A6" t="s">
        <v>19</v>
      </c>
      <c r="B6">
        <v>80</v>
      </c>
    </row>
    <row r="7" spans="1:2" x14ac:dyDescent="0.25">
      <c r="A7" t="s">
        <v>49</v>
      </c>
      <c r="B7">
        <v>12.21600463452636</v>
      </c>
    </row>
    <row r="8" spans="1:2" x14ac:dyDescent="0.25">
      <c r="A8" t="s">
        <v>50</v>
      </c>
      <c r="B8">
        <v>149.23076923076951</v>
      </c>
    </row>
    <row r="9" spans="1:2" x14ac:dyDescent="0.25">
      <c r="A9" t="s">
        <v>51</v>
      </c>
      <c r="B9">
        <v>1.2113939699900489</v>
      </c>
    </row>
    <row r="10" spans="1:2" x14ac:dyDescent="0.25">
      <c r="A10" t="s">
        <v>52</v>
      </c>
      <c r="B10">
        <v>-0.99773662225465576</v>
      </c>
    </row>
    <row r="11" spans="1:2" x14ac:dyDescent="0.25">
      <c r="A11" t="s">
        <v>20</v>
      </c>
      <c r="B11">
        <v>45</v>
      </c>
    </row>
    <row r="12" spans="1:2" x14ac:dyDescent="0.25">
      <c r="A12" t="s">
        <v>53</v>
      </c>
      <c r="B12">
        <v>45</v>
      </c>
    </row>
    <row r="13" spans="1:2" x14ac:dyDescent="0.25">
      <c r="A13" t="s">
        <v>54</v>
      </c>
      <c r="B13">
        <v>90</v>
      </c>
    </row>
    <row r="14" spans="1:2" x14ac:dyDescent="0.25">
      <c r="A14" t="s">
        <v>55</v>
      </c>
      <c r="B14">
        <v>958</v>
      </c>
    </row>
    <row r="15" spans="1:2" ht="15.75" thickBot="1" x14ac:dyDescent="0.3">
      <c r="A15" s="2" t="s">
        <v>56</v>
      </c>
      <c r="B15" s="2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212D9-5AEC-48BF-ABAA-6FD695FEE0CA}">
  <dimension ref="A1:C22"/>
  <sheetViews>
    <sheetView tabSelected="1" workbookViewId="0">
      <selection activeCell="Q16" sqref="Q16"/>
    </sheetView>
  </sheetViews>
  <sheetFormatPr defaultRowHeight="15" x14ac:dyDescent="0.25"/>
  <cols>
    <col min="1" max="1" width="22.28515625" customWidth="1"/>
    <col min="2" max="2" width="11.42578125" customWidth="1"/>
    <col min="3" max="3" width="11.285156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90</v>
      </c>
      <c r="C2">
        <v>2</v>
      </c>
    </row>
    <row r="3" spans="1:3" x14ac:dyDescent="0.25">
      <c r="A3" t="s">
        <v>4</v>
      </c>
      <c r="B3">
        <v>80</v>
      </c>
      <c r="C3">
        <v>3</v>
      </c>
    </row>
    <row r="4" spans="1:3" x14ac:dyDescent="0.25">
      <c r="A4" t="s">
        <v>5</v>
      </c>
      <c r="B4">
        <v>86</v>
      </c>
      <c r="C4">
        <v>4</v>
      </c>
    </row>
    <row r="5" spans="1:3" x14ac:dyDescent="0.25">
      <c r="A5" t="s">
        <v>6</v>
      </c>
      <c r="B5">
        <v>45</v>
      </c>
      <c r="C5">
        <v>3</v>
      </c>
    </row>
    <row r="6" spans="1:3" x14ac:dyDescent="0.25">
      <c r="A6" t="s">
        <v>7</v>
      </c>
      <c r="B6">
        <v>70</v>
      </c>
      <c r="C6">
        <v>6</v>
      </c>
    </row>
    <row r="7" spans="1:3" x14ac:dyDescent="0.25">
      <c r="A7" t="s">
        <v>8</v>
      </c>
      <c r="B7">
        <v>75</v>
      </c>
      <c r="C7">
        <v>3</v>
      </c>
    </row>
    <row r="8" spans="1:3" x14ac:dyDescent="0.25">
      <c r="A8" t="s">
        <v>9</v>
      </c>
      <c r="B8">
        <v>84</v>
      </c>
      <c r="C8">
        <v>2</v>
      </c>
    </row>
    <row r="9" spans="1:3" x14ac:dyDescent="0.25">
      <c r="A9" t="s">
        <v>10</v>
      </c>
      <c r="B9">
        <v>67</v>
      </c>
      <c r="C9">
        <v>1</v>
      </c>
    </row>
    <row r="10" spans="1:3" x14ac:dyDescent="0.25">
      <c r="A10" t="s">
        <v>11</v>
      </c>
      <c r="B10">
        <v>72</v>
      </c>
      <c r="C10">
        <v>8</v>
      </c>
    </row>
    <row r="11" spans="1:3" x14ac:dyDescent="0.25">
      <c r="A11" t="s">
        <v>12</v>
      </c>
      <c r="B11">
        <v>60</v>
      </c>
      <c r="C11">
        <v>5</v>
      </c>
    </row>
    <row r="12" spans="1:3" x14ac:dyDescent="0.25">
      <c r="A12" t="s">
        <v>13</v>
      </c>
      <c r="B12">
        <v>80</v>
      </c>
      <c r="C12">
        <v>4</v>
      </c>
    </row>
    <row r="13" spans="1:3" x14ac:dyDescent="0.25">
      <c r="A13" t="s">
        <v>14</v>
      </c>
      <c r="B13">
        <v>67</v>
      </c>
      <c r="C13">
        <v>5</v>
      </c>
    </row>
    <row r="14" spans="1:3" x14ac:dyDescent="0.25">
      <c r="A14" t="s">
        <v>15</v>
      </c>
      <c r="B14">
        <v>82</v>
      </c>
      <c r="C14">
        <v>3</v>
      </c>
    </row>
    <row r="15" spans="1:3" x14ac:dyDescent="0.25">
      <c r="A15" s="1" t="s">
        <v>16</v>
      </c>
      <c r="B15">
        <f>SUM(B2:B14)</f>
        <v>958</v>
      </c>
    </row>
    <row r="16" spans="1:3" x14ac:dyDescent="0.25">
      <c r="A16" s="1" t="s">
        <v>17</v>
      </c>
      <c r="B16">
        <f>AVERAGE(B2:B14)</f>
        <v>73.692307692307693</v>
      </c>
    </row>
    <row r="17" spans="1:2" x14ac:dyDescent="0.25">
      <c r="A17" s="1" t="s">
        <v>18</v>
      </c>
      <c r="B17">
        <f>MEDIAN(B2:B14)</f>
        <v>75</v>
      </c>
    </row>
    <row r="18" spans="1:2" x14ac:dyDescent="0.25">
      <c r="A18" s="1" t="s">
        <v>19</v>
      </c>
      <c r="B18">
        <f>MODE(B2:B14)</f>
        <v>80</v>
      </c>
    </row>
    <row r="19" spans="1:2" x14ac:dyDescent="0.25">
      <c r="A19" s="1" t="s">
        <v>20</v>
      </c>
      <c r="B19">
        <f>MAX(B3:B14)-MIN(B3:B14)</f>
        <v>41</v>
      </c>
    </row>
    <row r="20" spans="1:2" x14ac:dyDescent="0.25">
      <c r="A20" s="1" t="s">
        <v>21</v>
      </c>
      <c r="B20">
        <f>_xlfn.VAR.S(B2:B14)</f>
        <v>149.23076923076951</v>
      </c>
    </row>
    <row r="21" spans="1:2" x14ac:dyDescent="0.25">
      <c r="A21" s="1" t="s">
        <v>22</v>
      </c>
      <c r="B21">
        <f>_xlfn.STDEV.S(B2:B14)</f>
        <v>12.21600463452636</v>
      </c>
    </row>
    <row r="22" spans="1:2" x14ac:dyDescent="0.25">
      <c r="A22" s="1" t="s">
        <v>23</v>
      </c>
      <c r="B22">
        <f>CORREL(B2:B14,C2:C14)</f>
        <v>-0.19953789163167357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MITS</dc:creator>
  <cp:lastModifiedBy>MITS</cp:lastModifiedBy>
  <dcterms:created xsi:type="dcterms:W3CDTF">2026-05-26T08:31:23Z</dcterms:created>
  <dcterms:modified xsi:type="dcterms:W3CDTF">2026-05-27T05:49:45Z</dcterms:modified>
</cp:coreProperties>
</file>