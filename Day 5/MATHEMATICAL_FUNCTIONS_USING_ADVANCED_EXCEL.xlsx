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A74C14CD-D398-4812-B256-CFA58D5D73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K10" i="1"/>
  <c r="F21" i="1"/>
  <c r="F20" i="1"/>
  <c r="F19" i="1"/>
  <c r="F18" i="1"/>
  <c r="D3" i="1"/>
  <c r="D2" i="1"/>
  <c r="C2" i="1"/>
  <c r="B2" i="1"/>
  <c r="A2" i="1"/>
</calcChain>
</file>

<file path=xl/sharedStrings.xml><?xml version="1.0" encoding="utf-8"?>
<sst xmlns="http://schemas.openxmlformats.org/spreadsheetml/2006/main" count="48" uniqueCount="26">
  <si>
    <t>DATE</t>
  </si>
  <si>
    <t>PRODUCT</t>
  </si>
  <si>
    <t>COLOR</t>
  </si>
  <si>
    <t>REGION</t>
  </si>
  <si>
    <t>VALUE</t>
  </si>
  <si>
    <t>MOUSE</t>
  </si>
  <si>
    <t>KEYBOARD</t>
  </si>
  <si>
    <t>MONITOR</t>
  </si>
  <si>
    <t>BLACK</t>
  </si>
  <si>
    <t>BLUE</t>
  </si>
  <si>
    <t>RED</t>
  </si>
  <si>
    <t>GREEN</t>
  </si>
  <si>
    <t>YELLOW</t>
  </si>
  <si>
    <t>AP</t>
  </si>
  <si>
    <t>TN</t>
  </si>
  <si>
    <t>TG</t>
  </si>
  <si>
    <t>KA</t>
  </si>
  <si>
    <t>KL</t>
  </si>
  <si>
    <t>FACT</t>
  </si>
  <si>
    <t>ROUND</t>
  </si>
  <si>
    <t>MOD</t>
  </si>
  <si>
    <t>TOTAL</t>
  </si>
  <si>
    <t>BLACK+AP</t>
  </si>
  <si>
    <t>AVG</t>
  </si>
  <si>
    <t>BLACK+AP+MOUSE</t>
  </si>
  <si>
    <t>BLACK+AP+MOUSE)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</si>
</sst>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K13" sqref="K13"/>
    </sheetView>
  </sheetViews>
  <sheetFormatPr defaultRowHeight="15" x14ac:dyDescent="0.25"/>
  <cols>
    <col min="2" max="2" width="10.42578125" bestFit="1" customWidth="1"/>
  </cols>
  <sheetData>
    <row r="1" spans="1:11" x14ac:dyDescent="0.25">
      <c r="A1" s="2" t="s">
        <v>1</v>
      </c>
      <c r="B1" s="2" t="s">
        <v>18</v>
      </c>
      <c r="C1" s="2" t="s">
        <v>19</v>
      </c>
      <c r="D1" s="2" t="s">
        <v>20</v>
      </c>
    </row>
    <row r="2" spans="1:11" x14ac:dyDescent="0.25">
      <c r="A2" s="3">
        <f>PRODUCT(5,25)</f>
        <v>125</v>
      </c>
      <c r="B2" s="3">
        <f>FACT(6)</f>
        <v>720</v>
      </c>
      <c r="C2" s="3">
        <f>ROUND(SQRT(14),6)</f>
        <v>3.741657</v>
      </c>
      <c r="D2" s="3">
        <f>MOD(125, 5)</f>
        <v>0</v>
      </c>
    </row>
    <row r="3" spans="1:11" x14ac:dyDescent="0.25">
      <c r="A3" s="3"/>
      <c r="B3" s="3"/>
      <c r="C3" s="3"/>
      <c r="D3" s="3">
        <f>MOD(900, 3)</f>
        <v>0</v>
      </c>
    </row>
    <row r="7" spans="1:11" x14ac:dyDescent="0.25">
      <c r="B7" s="4" t="s">
        <v>0</v>
      </c>
      <c r="C7" s="4" t="s">
        <v>1</v>
      </c>
      <c r="D7" s="4" t="s">
        <v>2</v>
      </c>
      <c r="E7" s="4" t="s">
        <v>3</v>
      </c>
      <c r="F7" s="4" t="s">
        <v>4</v>
      </c>
    </row>
    <row r="8" spans="1:11" x14ac:dyDescent="0.25">
      <c r="B8" s="1">
        <v>46174</v>
      </c>
      <c r="C8" s="1" t="s">
        <v>5</v>
      </c>
      <c r="D8" s="1" t="s">
        <v>8</v>
      </c>
      <c r="E8" s="1" t="s">
        <v>13</v>
      </c>
      <c r="F8" s="1">
        <v>100</v>
      </c>
    </row>
    <row r="9" spans="1:11" x14ac:dyDescent="0.25">
      <c r="B9" s="1">
        <v>46175</v>
      </c>
      <c r="C9" s="1" t="s">
        <v>6</v>
      </c>
      <c r="D9" s="1" t="s">
        <v>9</v>
      </c>
      <c r="E9" s="1" t="s">
        <v>14</v>
      </c>
      <c r="F9" s="1">
        <v>500</v>
      </c>
    </row>
    <row r="10" spans="1:11" x14ac:dyDescent="0.25">
      <c r="B10" s="1">
        <v>46176</v>
      </c>
      <c r="C10" s="1" t="s">
        <v>7</v>
      </c>
      <c r="D10" s="1" t="s">
        <v>10</v>
      </c>
      <c r="E10" s="1" t="s">
        <v>15</v>
      </c>
      <c r="F10" s="1">
        <v>300</v>
      </c>
      <c r="I10" s="5" t="s">
        <v>21</v>
      </c>
      <c r="J10" s="5" t="s">
        <v>23</v>
      </c>
      <c r="K10" s="6">
        <f>AVERAGE(F8:F17)</f>
        <v>605</v>
      </c>
    </row>
    <row r="11" spans="1:11" x14ac:dyDescent="0.25">
      <c r="B11" s="1">
        <v>46177</v>
      </c>
      <c r="C11" s="1" t="s">
        <v>6</v>
      </c>
      <c r="D11" s="1" t="s">
        <v>11</v>
      </c>
      <c r="E11" s="1" t="s">
        <v>16</v>
      </c>
      <c r="F11" s="1">
        <v>400</v>
      </c>
      <c r="I11" s="6" t="s">
        <v>8</v>
      </c>
      <c r="J11" s="6">
        <f>AVERAGEIF(D8:D17, "BLACK", F8:F17)</f>
        <v>350</v>
      </c>
      <c r="K11" s="6"/>
    </row>
    <row r="12" spans="1:11" x14ac:dyDescent="0.25">
      <c r="B12" s="1">
        <v>46178</v>
      </c>
      <c r="C12" s="1" t="s">
        <v>7</v>
      </c>
      <c r="D12" s="1" t="s">
        <v>12</v>
      </c>
      <c r="E12" s="1" t="s">
        <v>17</v>
      </c>
      <c r="F12" s="1">
        <v>700</v>
      </c>
      <c r="I12" s="6" t="s">
        <v>22</v>
      </c>
      <c r="J12" s="6">
        <f>AVERAGEIFS(F8:F17, D8:D17, "BLACK", E8:E17, "AP")</f>
        <v>100</v>
      </c>
      <c r="K12" s="6"/>
    </row>
    <row r="13" spans="1:11" x14ac:dyDescent="0.25">
      <c r="B13" s="1">
        <v>46179</v>
      </c>
      <c r="C13" s="1" t="s">
        <v>5</v>
      </c>
      <c r="D13" s="1" t="s">
        <v>8</v>
      </c>
      <c r="E13" s="1" t="s">
        <v>16</v>
      </c>
      <c r="F13" s="1">
        <v>600</v>
      </c>
      <c r="I13" s="6" t="s">
        <v>25</v>
      </c>
      <c r="J13" s="6">
        <f>AVERAGEIFS(F8:F17, D8:D17, "BLACK", E8:E17, "AP", C8:C17, "MOUSE")</f>
        <v>100</v>
      </c>
      <c r="K13" s="6"/>
    </row>
    <row r="14" spans="1:11" x14ac:dyDescent="0.25">
      <c r="B14" s="1">
        <v>46180</v>
      </c>
      <c r="C14" s="1" t="s">
        <v>7</v>
      </c>
      <c r="D14" s="1" t="s">
        <v>9</v>
      </c>
      <c r="E14" s="1" t="s">
        <v>17</v>
      </c>
      <c r="F14" s="1">
        <v>200</v>
      </c>
    </row>
    <row r="15" spans="1:11" x14ac:dyDescent="0.25">
      <c r="B15" s="1">
        <v>46181</v>
      </c>
      <c r="C15" s="1" t="s">
        <v>5</v>
      </c>
      <c r="D15" s="1" t="s">
        <v>10</v>
      </c>
      <c r="E15" s="1" t="s">
        <v>14</v>
      </c>
      <c r="F15" s="1">
        <v>950</v>
      </c>
    </row>
    <row r="16" spans="1:11" x14ac:dyDescent="0.25">
      <c r="B16" s="1">
        <v>46182</v>
      </c>
      <c r="C16" s="1" t="s">
        <v>6</v>
      </c>
      <c r="D16" s="1" t="s">
        <v>11</v>
      </c>
      <c r="E16" s="1" t="s">
        <v>13</v>
      </c>
      <c r="F16" s="1">
        <v>1450</v>
      </c>
    </row>
    <row r="17" spans="2:6" x14ac:dyDescent="0.25">
      <c r="B17" s="1">
        <v>46183</v>
      </c>
      <c r="C17" s="1" t="s">
        <v>5</v>
      </c>
      <c r="D17" s="1" t="s">
        <v>12</v>
      </c>
      <c r="E17" s="1" t="s">
        <v>15</v>
      </c>
      <c r="F17" s="1">
        <v>850</v>
      </c>
    </row>
    <row r="18" spans="2:6" x14ac:dyDescent="0.25">
      <c r="B18" s="1"/>
      <c r="C18" s="1"/>
      <c r="D18" s="1"/>
      <c r="E18" s="1" t="s">
        <v>21</v>
      </c>
      <c r="F18" s="1">
        <f>SUM(F8:F17)</f>
        <v>6050</v>
      </c>
    </row>
    <row r="19" spans="2:6" x14ac:dyDescent="0.25">
      <c r="B19" s="1"/>
      <c r="C19" s="1"/>
      <c r="D19" s="1"/>
      <c r="E19" s="1" t="s">
        <v>8</v>
      </c>
      <c r="F19" s="1">
        <f>SUMIF(D8:D17, "BLACK", F8:F17)</f>
        <v>700</v>
      </c>
    </row>
    <row r="20" spans="2:6" x14ac:dyDescent="0.25">
      <c r="B20" s="1"/>
      <c r="C20" s="1"/>
      <c r="D20" s="1"/>
      <c r="E20" s="1" t="s">
        <v>22</v>
      </c>
      <c r="F20" s="1">
        <f>SUMIFS(F8:F17, D8:D17, "BLACK", E8:E17, "AP")</f>
        <v>100</v>
      </c>
    </row>
    <row r="21" spans="2:6" x14ac:dyDescent="0.25">
      <c r="B21" s="1"/>
      <c r="C21" s="1"/>
      <c r="D21" s="1"/>
      <c r="E21" s="1" t="s">
        <v>24</v>
      </c>
      <c r="F21" s="1">
        <f>SUMIFS(F8:F17, D8:D17, "BLACK", E8:E17, "AP", C8:C17, "MOUSE")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2026-06-01T11:17:24Z</dcterms:modified>
</cp:coreProperties>
</file>