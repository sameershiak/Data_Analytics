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E8FAB0D9-83D1-4A3B-9F51-167088FC83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  <c r="N2" i="1"/>
  <c r="K51" i="1"/>
  <c r="V2" i="1"/>
  <c r="K8" i="1"/>
  <c r="W2" i="1"/>
  <c r="U2" i="1"/>
  <c r="T2" i="1"/>
  <c r="S2" i="1"/>
  <c r="R2" i="1"/>
  <c r="P2" i="1"/>
  <c r="O2" i="1"/>
  <c r="M2" i="1"/>
  <c r="L2" i="1" a="1"/>
  <c r="L2" i="1" s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3" i="1"/>
  <c r="K4" i="1"/>
  <c r="K5" i="1"/>
  <c r="K6" i="1"/>
  <c r="K7" i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<sst xmlns="http://schemas.openxmlformats.org/spreadsheetml/2006/main" count="272" uniqueCount="88">
  <si>
    <t>EmployeeID</t>
  </si>
  <si>
    <t>Name</t>
  </si>
  <si>
    <t>Department</t>
  </si>
  <si>
    <t>Experience_Years</t>
  </si>
  <si>
    <t>Education_Level</t>
  </si>
  <si>
    <t>Age</t>
  </si>
  <si>
    <t>Gender</t>
  </si>
  <si>
    <t>City</t>
  </si>
  <si>
    <t>Monthly_Salary</t>
  </si>
  <si>
    <t>Employee_1</t>
  </si>
  <si>
    <t>Marketing</t>
  </si>
  <si>
    <t>Master</t>
  </si>
  <si>
    <t>Female</t>
  </si>
  <si>
    <t>Delhi</t>
  </si>
  <si>
    <t>Employee_2</t>
  </si>
  <si>
    <t>Operations</t>
  </si>
  <si>
    <t>Bachelor</t>
  </si>
  <si>
    <t>Bangalore</t>
  </si>
  <si>
    <t>Employee_3</t>
  </si>
  <si>
    <t>IT</t>
  </si>
  <si>
    <t>High School</t>
  </si>
  <si>
    <t>Hyderabad</t>
  </si>
  <si>
    <t>Employee_4</t>
  </si>
  <si>
    <t>PhD</t>
  </si>
  <si>
    <t>Male</t>
  </si>
  <si>
    <t>Employee_5</t>
  </si>
  <si>
    <t>Employee_6</t>
  </si>
  <si>
    <t>Finance</t>
  </si>
  <si>
    <t>Mumbai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</si>
  <si>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</si>
  <si>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</si>
  <si>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</si>
  <si>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</si>
  <si>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</si>
  <si>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</si>
  <si>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</si>
  <si>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</si>
  <si>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</si>
  <si>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</si>
  <si>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</si>
  <si>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</si>
  <si>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Chennai</t>
  </si>
  <si>
    <t>Employee_19</t>
  </si>
  <si>
    <t>HR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</si>
  <si>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</si>
  <si>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</si>
  <si>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</si>
  <si>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</si>
  <si>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</si>
  <si>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</si>
  <si>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</si>
  <si>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</si>
  <si>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</si>
  <si>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</si>
  <si>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</si>
  <si>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</si>
  <si>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</si>
  <si>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</si>
  <si>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</si>
  <si>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</si>
  <si>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</si>
  <si>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</si>
  <si>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</si>
  <si>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</si>
  <si>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</si>
  <si>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</si>
  <si>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</si>
  <si>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</si>
  <si>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</si>
  <si>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</si>
  <si>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</si>
  <si>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</si>
  <si>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</si>
  <si>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</si>
  <si>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</si>
  <si>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round</t>
  </si>
  <si>
    <t>sqrt</t>
  </si>
  <si>
    <t>min</t>
  </si>
  <si>
    <t>max</t>
  </si>
  <si>
    <t>average</t>
  </si>
  <si>
    <t>sum</t>
  </si>
  <si>
    <t>median</t>
  </si>
  <si>
    <t>rank</t>
  </si>
  <si>
    <t>left</t>
  </si>
  <si>
    <t>right</t>
  </si>
  <si>
    <t>length</t>
  </si>
  <si>
    <t>roundup</t>
  </si>
  <si>
    <t>rounddown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</si>
</sst>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  <xf numFmtId="0" fontId="0" fillId="37" borderId="10" xfId="0" applyFill="1" applyBorder="1"/>
    <xf numFmtId="0" fontId="0" fillId="38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41" borderId="10" xfId="0" applyFill="1" applyBorder="1"/>
    <xf numFmtId="0" fontId="0" fillId="42" borderId="10" xfId="0" applyFill="1" applyBorder="1"/>
    <xf numFmtId="0" fontId="0" fillId="43" borderId="10" xfId="0" applyFill="1" applyBorder="1"/>
    <xf numFmtId="0" fontId="0" fillId="44" borderId="10" xfId="0" applyFill="1" applyBorder="1"/>
    <xf numFmtId="0" fontId="16" fillId="33" borderId="10" xfId="0" applyFont="1" applyFill="1" applyBorder="1"/>
    <xf numFmtId="0" fontId="16" fillId="34" borderId="10" xfId="0" applyFont="1" applyFill="1" applyBorder="1"/>
    <xf numFmtId="0" fontId="16" fillId="35" borderId="10" xfId="0" applyFont="1" applyFill="1" applyBorder="1"/>
    <xf numFmtId="0" fontId="16" fillId="36" borderId="10" xfId="0" applyFont="1" applyFill="1" applyBorder="1"/>
    <xf numFmtId="0" fontId="16" fillId="37" borderId="10" xfId="0" applyFont="1" applyFill="1" applyBorder="1"/>
    <xf numFmtId="0" fontId="16" fillId="38" borderId="10" xfId="0" applyFont="1" applyFill="1" applyBorder="1"/>
    <xf numFmtId="0" fontId="16" fillId="39" borderId="10" xfId="0" applyFont="1" applyFill="1" applyBorder="1"/>
    <xf numFmtId="0" fontId="16" fillId="40" borderId="10" xfId="0" applyFont="1" applyFill="1" applyBorder="1"/>
    <xf numFmtId="0" fontId="16" fillId="41" borderId="10" xfId="0" applyFont="1" applyFill="1" applyBorder="1"/>
    <xf numFmtId="0" fontId="16" fillId="42" borderId="10" xfId="0" applyFont="1" applyFill="1" applyBorder="1"/>
    <xf numFmtId="0" fontId="16" fillId="43" borderId="10" xfId="0" applyFont="1" applyFill="1" applyBorder="1"/>
    <xf numFmtId="0" fontId="16" fillId="4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"/>
  <sheetViews>
    <sheetView tabSelected="1" workbookViewId="0">
      <selection activeCell="V4" sqref="V4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s="13" t="s">
        <v>75</v>
      </c>
      <c r="L1" s="14" t="s">
        <v>76</v>
      </c>
      <c r="M1" s="15" t="s">
        <v>77</v>
      </c>
      <c r="N1" s="16" t="s">
        <v>78</v>
      </c>
      <c r="O1" s="17" t="s">
        <v>79</v>
      </c>
      <c r="P1" s="18" t="s">
        <v>80</v>
      </c>
      <c r="Q1" s="19" t="s">
        <v>81</v>
      </c>
      <c r="R1" s="20" t="s">
        <v>82</v>
      </c>
      <c r="S1" s="21" t="s">
        <v>83</v>
      </c>
      <c r="T1" s="22" t="s">
        <v>84</v>
      </c>
      <c r="U1" s="13" t="s">
        <v>85</v>
      </c>
      <c r="V1" s="23" t="s">
        <v>86</v>
      </c>
      <c r="W1" s="24" t="s">
        <v>87</v>
      </c>
      <c r="X1" s="12"/>
    </row>
    <row r="2" spans="1:24" x14ac:dyDescent="0.25">
      <c r="A2">
        <v>1</v>
      </c>
      <c r="B2" t="s">
        <v>9</v>
      </c>
      <c r="C2" t="s">
        <v>10</v>
      </c>
      <c r="D2">
        <v>15</v>
      </c>
      <c r="E2" t="s">
        <v>11</v>
      </c>
      <c r="F2">
        <v>53</v>
      </c>
      <c r="G2" t="s">
        <v>12</v>
      </c>
      <c r="H2" t="s">
        <v>13</v>
      </c>
      <c r="I2">
        <v>111416</v>
      </c>
      <c r="K2" s="1">
        <f>ROUND(D2,0)</f>
        <v>15</v>
      </c>
      <c r="L2" s="2" cm="1">
        <f t="array" ref="L2:L51">SQRT(F2:F51)</f>
        <v>7.2801098892805181</v>
      </c>
      <c r="M2" s="3">
        <f>MIN(I2:I51)</f>
        <v>28420</v>
      </c>
      <c r="N2" s="4">
        <f>MAX(I2:I51)</f>
        <v>149123</v>
      </c>
      <c r="O2" s="5">
        <f>AVERAGE(F2:F51)</f>
        <v>39.76</v>
      </c>
      <c r="P2" s="6">
        <f>SUM(F2:F51)</f>
        <v>1988</v>
      </c>
      <c r="Q2" s="7">
        <f>MEDIAN(F2:F51)</f>
        <v>43.5</v>
      </c>
      <c r="R2" s="8">
        <f>RANK(D2,D:D)</f>
        <v>9</v>
      </c>
      <c r="S2" s="9" t="str">
        <f>LEFT(G5,3)</f>
        <v>Mal</v>
      </c>
      <c r="T2" s="10" t="str">
        <f>RIGHT(G3,3)</f>
        <v>ale</v>
      </c>
      <c r="U2" s="1">
        <f>LEN(I2)</f>
        <v>6</v>
      </c>
      <c r="V2" s="11">
        <f>ROUNDUP(I6,1)</f>
        <v>132450.4</v>
      </c>
      <c r="W2" s="12">
        <f>ROUNDDOWN(I6,3)</f>
        <v>132450.345</v>
      </c>
      <c r="X2" s="12"/>
    </row>
    <row r="3" spans="1:24" x14ac:dyDescent="0.25">
      <c r="A3">
        <v>2</v>
      </c>
      <c r="B3" t="s">
        <v>14</v>
      </c>
      <c r="C3" t="s">
        <v>15</v>
      </c>
      <c r="D3">
        <v>7</v>
      </c>
      <c r="E3" t="s">
        <v>16</v>
      </c>
      <c r="F3">
        <v>25</v>
      </c>
      <c r="G3" t="s">
        <v>12</v>
      </c>
      <c r="H3" t="s">
        <v>17</v>
      </c>
      <c r="I3">
        <v>95271</v>
      </c>
      <c r="K3" s="1">
        <f t="shared" ref="K3:K51" si="0">ROUND(D3,0)</f>
        <v>7</v>
      </c>
      <c r="L3" s="2">
        <v>5</v>
      </c>
    </row>
    <row r="4" spans="1:24" x14ac:dyDescent="0.25">
      <c r="A4">
        <v>3</v>
      </c>
      <c r="B4" t="s">
        <v>18</v>
      </c>
      <c r="C4" t="s">
        <v>19</v>
      </c>
      <c r="D4">
        <v>12</v>
      </c>
      <c r="E4" t="s">
        <v>20</v>
      </c>
      <c r="F4">
        <v>51</v>
      </c>
      <c r="G4" t="s">
        <v>12</v>
      </c>
      <c r="H4" t="s">
        <v>21</v>
      </c>
      <c r="I4">
        <v>69064</v>
      </c>
      <c r="K4" s="1">
        <f t="shared" si="0"/>
        <v>12</v>
      </c>
      <c r="L4" s="2">
        <v>7.1414284285428504</v>
      </c>
    </row>
    <row r="5" spans="1:24" x14ac:dyDescent="0.25">
      <c r="A5">
        <v>4</v>
      </c>
      <c r="B5" t="s">
        <v>22</v>
      </c>
      <c r="C5" t="s">
        <v>15</v>
      </c>
      <c r="D5">
        <v>8</v>
      </c>
      <c r="E5" t="s">
        <v>23</v>
      </c>
      <c r="F5">
        <v>44</v>
      </c>
      <c r="G5" t="s">
        <v>24</v>
      </c>
      <c r="H5" t="s">
        <v>13</v>
      </c>
      <c r="I5">
        <v>95091</v>
      </c>
      <c r="K5" s="1">
        <f t="shared" si="0"/>
        <v>8</v>
      </c>
      <c r="L5" s="2">
        <v>6.6332495807107996</v>
      </c>
    </row>
    <row r="6" spans="1:24" x14ac:dyDescent="0.25">
      <c r="A6">
        <v>5</v>
      </c>
      <c r="B6" t="s">
        <v>25</v>
      </c>
      <c r="C6" t="s">
        <v>15</v>
      </c>
      <c r="D6">
        <v>15</v>
      </c>
      <c r="E6" t="s">
        <v>11</v>
      </c>
      <c r="F6">
        <v>36</v>
      </c>
      <c r="G6" t="s">
        <v>12</v>
      </c>
      <c r="H6" t="s">
        <v>13</v>
      </c>
      <c r="I6">
        <v>132450.345</v>
      </c>
      <c r="K6" s="1">
        <f t="shared" si="0"/>
        <v>15</v>
      </c>
      <c r="L6" s="2">
        <v>6</v>
      </c>
    </row>
    <row r="7" spans="1:24" x14ac:dyDescent="0.25">
      <c r="A7">
        <v>6</v>
      </c>
      <c r="B7" t="s">
        <v>26</v>
      </c>
      <c r="C7" t="s">
        <v>27</v>
      </c>
      <c r="D7">
        <v>3</v>
      </c>
      <c r="E7" t="s">
        <v>20</v>
      </c>
      <c r="F7">
        <v>50</v>
      </c>
      <c r="G7" t="s">
        <v>24</v>
      </c>
      <c r="H7" t="s">
        <v>28</v>
      </c>
      <c r="I7">
        <v>65818</v>
      </c>
      <c r="K7" s="1">
        <f t="shared" si="0"/>
        <v>3</v>
      </c>
      <c r="L7" s="2">
        <v>7.0710678118654755</v>
      </c>
    </row>
    <row r="8" spans="1:24" x14ac:dyDescent="0.25">
      <c r="A8">
        <v>7</v>
      </c>
      <c r="B8" t="s">
        <v>29</v>
      </c>
      <c r="C8" t="s">
        <v>19</v>
      </c>
      <c r="D8">
        <v>14</v>
      </c>
      <c r="E8" t="s">
        <v>23</v>
      </c>
      <c r="F8">
        <v>57</v>
      </c>
      <c r="G8" t="s">
        <v>24</v>
      </c>
      <c r="H8" t="s">
        <v>28</v>
      </c>
      <c r="I8">
        <v>70525</v>
      </c>
      <c r="K8" s="1">
        <f>ROUND(D8,0)</f>
        <v>14</v>
      </c>
      <c r="L8" s="2">
        <v>7.5498344352707498</v>
      </c>
    </row>
    <row r="9" spans="1:24" x14ac:dyDescent="0.25">
      <c r="A9">
        <v>8</v>
      </c>
      <c r="B9" t="s">
        <v>30</v>
      </c>
      <c r="C9" t="s">
        <v>19</v>
      </c>
      <c r="D9">
        <v>17</v>
      </c>
      <c r="E9" t="s">
        <v>23</v>
      </c>
      <c r="F9">
        <v>34</v>
      </c>
      <c r="G9" t="s">
        <v>12</v>
      </c>
      <c r="H9" t="s">
        <v>17</v>
      </c>
      <c r="I9">
        <v>44830</v>
      </c>
      <c r="K9" s="1">
        <f t="shared" si="0"/>
        <v>17</v>
      </c>
      <c r="L9" s="2">
        <v>5.8309518948453007</v>
      </c>
    </row>
    <row r="10" spans="1:24" x14ac:dyDescent="0.25">
      <c r="A10">
        <v>9</v>
      </c>
      <c r="B10" t="s">
        <v>31</v>
      </c>
      <c r="C10" t="s">
        <v>19</v>
      </c>
      <c r="D10">
        <v>4</v>
      </c>
      <c r="E10" t="s">
        <v>16</v>
      </c>
      <c r="F10">
        <v>53</v>
      </c>
      <c r="G10" t="s">
        <v>24</v>
      </c>
      <c r="H10" t="s">
        <v>21</v>
      </c>
      <c r="I10">
        <v>42429</v>
      </c>
      <c r="K10" s="1">
        <f t="shared" si="0"/>
        <v>4</v>
      </c>
      <c r="L10" s="2">
        <v>7.2801098892805181</v>
      </c>
    </row>
    <row r="11" spans="1:24" x14ac:dyDescent="0.25">
      <c r="A11">
        <v>10</v>
      </c>
      <c r="B11" t="s">
        <v>32</v>
      </c>
      <c r="C11" t="s">
        <v>15</v>
      </c>
      <c r="D11">
        <v>18</v>
      </c>
      <c r="E11" t="s">
        <v>20</v>
      </c>
      <c r="F11">
        <v>28</v>
      </c>
      <c r="G11" t="s">
        <v>24</v>
      </c>
      <c r="H11" t="s">
        <v>28</v>
      </c>
      <c r="I11">
        <v>31893</v>
      </c>
      <c r="K11" s="1">
        <f t="shared" si="0"/>
        <v>18</v>
      </c>
      <c r="L11" s="2">
        <v>5.2915026221291814</v>
      </c>
    </row>
    <row r="12" spans="1:24" x14ac:dyDescent="0.25">
      <c r="A12">
        <v>11</v>
      </c>
      <c r="B12" t="s">
        <v>33</v>
      </c>
      <c r="C12" t="s">
        <v>10</v>
      </c>
      <c r="D12">
        <v>8</v>
      </c>
      <c r="E12" t="s">
        <v>23</v>
      </c>
      <c r="F12">
        <v>43</v>
      </c>
      <c r="G12" t="s">
        <v>24</v>
      </c>
      <c r="H12" t="s">
        <v>13</v>
      </c>
      <c r="I12">
        <v>141381</v>
      </c>
      <c r="K12" s="1">
        <f t="shared" si="0"/>
        <v>8</v>
      </c>
      <c r="L12" s="2">
        <v>6.5574385243020004</v>
      </c>
    </row>
    <row r="13" spans="1:24" x14ac:dyDescent="0.25">
      <c r="A13">
        <v>12</v>
      </c>
      <c r="B13" t="s">
        <v>34</v>
      </c>
      <c r="C13" t="s">
        <v>19</v>
      </c>
      <c r="D13">
        <v>4</v>
      </c>
      <c r="E13" t="s">
        <v>11</v>
      </c>
      <c r="F13">
        <v>49</v>
      </c>
      <c r="G13" t="s">
        <v>12</v>
      </c>
      <c r="H13" t="s">
        <v>21</v>
      </c>
      <c r="I13">
        <v>104909</v>
      </c>
      <c r="K13" s="1">
        <f t="shared" si="0"/>
        <v>4</v>
      </c>
      <c r="L13" s="2">
        <v>7</v>
      </c>
    </row>
    <row r="14" spans="1:24" x14ac:dyDescent="0.25">
      <c r="A14">
        <v>13</v>
      </c>
      <c r="B14" t="s">
        <v>35</v>
      </c>
      <c r="C14" t="s">
        <v>15</v>
      </c>
      <c r="D14">
        <v>2</v>
      </c>
      <c r="E14" t="s">
        <v>11</v>
      </c>
      <c r="F14">
        <v>23</v>
      </c>
      <c r="G14" t="s">
        <v>12</v>
      </c>
      <c r="H14" t="s">
        <v>21</v>
      </c>
      <c r="I14">
        <v>72333</v>
      </c>
      <c r="K14" s="1">
        <f t="shared" si="0"/>
        <v>2</v>
      </c>
      <c r="L14" s="2">
        <v>4.7958315233127191</v>
      </c>
    </row>
    <row r="15" spans="1:24" x14ac:dyDescent="0.25">
      <c r="A15">
        <v>14</v>
      </c>
      <c r="B15" t="s">
        <v>36</v>
      </c>
      <c r="C15" t="s">
        <v>27</v>
      </c>
      <c r="D15">
        <v>6</v>
      </c>
      <c r="E15" t="s">
        <v>16</v>
      </c>
      <c r="F15">
        <v>27</v>
      </c>
      <c r="G15" t="s">
        <v>24</v>
      </c>
      <c r="H15" t="s">
        <v>13</v>
      </c>
      <c r="I15">
        <v>28436</v>
      </c>
      <c r="K15" s="1">
        <f t="shared" si="0"/>
        <v>6</v>
      </c>
      <c r="L15" s="2">
        <v>5.196152422706632</v>
      </c>
    </row>
    <row r="16" spans="1:24" x14ac:dyDescent="0.25">
      <c r="A16">
        <v>15</v>
      </c>
      <c r="B16" t="s">
        <v>37</v>
      </c>
      <c r="C16" t="s">
        <v>10</v>
      </c>
      <c r="D16">
        <v>10</v>
      </c>
      <c r="E16" t="s">
        <v>23</v>
      </c>
      <c r="F16">
        <v>49</v>
      </c>
      <c r="G16" t="s">
        <v>12</v>
      </c>
      <c r="H16" t="s">
        <v>28</v>
      </c>
      <c r="I16">
        <v>99290</v>
      </c>
      <c r="K16" s="1">
        <f t="shared" si="0"/>
        <v>10</v>
      </c>
      <c r="L16" s="2">
        <v>7</v>
      </c>
    </row>
    <row r="17" spans="1:12" x14ac:dyDescent="0.25">
      <c r="A17">
        <v>16</v>
      </c>
      <c r="B17" t="s">
        <v>38</v>
      </c>
      <c r="C17" t="s">
        <v>27</v>
      </c>
      <c r="D17">
        <v>4</v>
      </c>
      <c r="E17" t="s">
        <v>20</v>
      </c>
      <c r="F17">
        <v>49</v>
      </c>
      <c r="G17" t="s">
        <v>12</v>
      </c>
      <c r="H17" t="s">
        <v>13</v>
      </c>
      <c r="I17">
        <v>101213</v>
      </c>
      <c r="K17" s="1">
        <f t="shared" si="0"/>
        <v>4</v>
      </c>
      <c r="L17" s="2">
        <v>7</v>
      </c>
    </row>
    <row r="18" spans="1:12" x14ac:dyDescent="0.25">
      <c r="A18">
        <v>17</v>
      </c>
      <c r="B18" t="s">
        <v>39</v>
      </c>
      <c r="C18" t="s">
        <v>10</v>
      </c>
      <c r="D18">
        <v>18</v>
      </c>
      <c r="E18" t="s">
        <v>11</v>
      </c>
      <c r="F18">
        <v>41</v>
      </c>
      <c r="G18" t="s">
        <v>12</v>
      </c>
      <c r="H18" t="s">
        <v>21</v>
      </c>
      <c r="I18">
        <v>30895</v>
      </c>
      <c r="K18" s="1">
        <f t="shared" si="0"/>
        <v>18</v>
      </c>
      <c r="L18" s="2">
        <v>6.4031242374328485</v>
      </c>
    </row>
    <row r="19" spans="1:12" x14ac:dyDescent="0.25">
      <c r="A19">
        <v>18</v>
      </c>
      <c r="B19" t="s">
        <v>40</v>
      </c>
      <c r="C19" t="s">
        <v>15</v>
      </c>
      <c r="D19">
        <v>12</v>
      </c>
      <c r="E19" t="s">
        <v>23</v>
      </c>
      <c r="F19">
        <v>51</v>
      </c>
      <c r="G19" t="s">
        <v>12</v>
      </c>
      <c r="H19" t="s">
        <v>41</v>
      </c>
      <c r="I19">
        <v>44738</v>
      </c>
      <c r="K19" s="1">
        <f t="shared" si="0"/>
        <v>12</v>
      </c>
      <c r="L19" s="2">
        <v>7.1414284285428504</v>
      </c>
    </row>
    <row r="20" spans="1:12" x14ac:dyDescent="0.25">
      <c r="A20">
        <v>19</v>
      </c>
      <c r="B20" t="s">
        <v>42</v>
      </c>
      <c r="C20" t="s">
        <v>43</v>
      </c>
      <c r="D20">
        <v>2</v>
      </c>
      <c r="E20" t="s">
        <v>23</v>
      </c>
      <c r="F20">
        <v>32</v>
      </c>
      <c r="G20" t="s">
        <v>24</v>
      </c>
      <c r="H20" t="s">
        <v>41</v>
      </c>
      <c r="I20">
        <v>55746</v>
      </c>
      <c r="K20" s="1">
        <f t="shared" si="0"/>
        <v>2</v>
      </c>
      <c r="L20" s="2">
        <v>5.6568542494923806</v>
      </c>
    </row>
    <row r="21" spans="1:12" x14ac:dyDescent="0.25">
      <c r="A21">
        <v>20</v>
      </c>
      <c r="B21" t="s">
        <v>44</v>
      </c>
      <c r="C21" t="s">
        <v>10</v>
      </c>
      <c r="D21">
        <v>10</v>
      </c>
      <c r="E21" t="s">
        <v>16</v>
      </c>
      <c r="F21">
        <v>49</v>
      </c>
      <c r="G21" t="s">
        <v>24</v>
      </c>
      <c r="H21" t="s">
        <v>17</v>
      </c>
      <c r="I21">
        <v>74377</v>
      </c>
      <c r="K21" s="1">
        <f t="shared" si="0"/>
        <v>10</v>
      </c>
      <c r="L21" s="2">
        <v>7</v>
      </c>
    </row>
    <row r="22" spans="1:12" x14ac:dyDescent="0.25">
      <c r="A22">
        <v>21</v>
      </c>
      <c r="B22" t="s">
        <v>45</v>
      </c>
      <c r="C22" t="s">
        <v>27</v>
      </c>
      <c r="D22">
        <v>4</v>
      </c>
      <c r="E22" t="s">
        <v>11</v>
      </c>
      <c r="F22">
        <v>46</v>
      </c>
      <c r="G22" t="s">
        <v>12</v>
      </c>
      <c r="H22" t="s">
        <v>13</v>
      </c>
      <c r="I22">
        <v>73404</v>
      </c>
      <c r="K22" s="1">
        <f t="shared" si="0"/>
        <v>4</v>
      </c>
      <c r="L22" s="2">
        <v>6.7823299831252681</v>
      </c>
    </row>
    <row r="23" spans="1:12" x14ac:dyDescent="0.25">
      <c r="A23">
        <v>22</v>
      </c>
      <c r="B23" t="s">
        <v>46</v>
      </c>
      <c r="C23" t="s">
        <v>15</v>
      </c>
      <c r="D23">
        <v>14</v>
      </c>
      <c r="E23" t="s">
        <v>11</v>
      </c>
      <c r="F23">
        <v>54</v>
      </c>
      <c r="G23" t="s">
        <v>12</v>
      </c>
      <c r="H23" t="s">
        <v>13</v>
      </c>
      <c r="I23">
        <v>79045</v>
      </c>
      <c r="K23" s="1">
        <f t="shared" si="0"/>
        <v>14</v>
      </c>
      <c r="L23" s="2">
        <v>7.3484692283495345</v>
      </c>
    </row>
    <row r="24" spans="1:12" x14ac:dyDescent="0.25">
      <c r="A24">
        <v>23</v>
      </c>
      <c r="B24" t="s">
        <v>47</v>
      </c>
      <c r="C24" t="s">
        <v>10</v>
      </c>
      <c r="D24">
        <v>16</v>
      </c>
      <c r="E24" t="s">
        <v>20</v>
      </c>
      <c r="F24">
        <v>22</v>
      </c>
      <c r="G24" t="s">
        <v>24</v>
      </c>
      <c r="H24" t="s">
        <v>17</v>
      </c>
      <c r="I24">
        <v>122888</v>
      </c>
      <c r="K24" s="1">
        <f t="shared" si="0"/>
        <v>16</v>
      </c>
      <c r="L24" s="2">
        <v>4.6904157598234297</v>
      </c>
    </row>
    <row r="25" spans="1:12" x14ac:dyDescent="0.25">
      <c r="A25">
        <v>24</v>
      </c>
      <c r="B25" t="s">
        <v>48</v>
      </c>
      <c r="C25" t="s">
        <v>43</v>
      </c>
      <c r="D25">
        <v>15</v>
      </c>
      <c r="E25" t="s">
        <v>11</v>
      </c>
      <c r="F25">
        <v>48</v>
      </c>
      <c r="G25" t="s">
        <v>24</v>
      </c>
      <c r="H25" t="s">
        <v>17</v>
      </c>
      <c r="I25">
        <v>64790</v>
      </c>
      <c r="K25" s="1">
        <f t="shared" si="0"/>
        <v>15</v>
      </c>
      <c r="L25" s="2">
        <v>6.9282032302755088</v>
      </c>
    </row>
    <row r="26" spans="1:12" x14ac:dyDescent="0.25">
      <c r="A26">
        <v>25</v>
      </c>
      <c r="B26" t="s">
        <v>49</v>
      </c>
      <c r="C26" t="s">
        <v>43</v>
      </c>
      <c r="D26">
        <v>8</v>
      </c>
      <c r="E26" t="s">
        <v>20</v>
      </c>
      <c r="F26">
        <v>34</v>
      </c>
      <c r="G26" t="s">
        <v>12</v>
      </c>
      <c r="H26" t="s">
        <v>17</v>
      </c>
      <c r="I26">
        <v>132455</v>
      </c>
      <c r="K26" s="1">
        <f t="shared" si="0"/>
        <v>8</v>
      </c>
      <c r="L26" s="2">
        <v>5.8309518948453007</v>
      </c>
    </row>
    <row r="27" spans="1:12" x14ac:dyDescent="0.25">
      <c r="A27">
        <v>26</v>
      </c>
      <c r="B27" t="s">
        <v>50</v>
      </c>
      <c r="C27" t="s">
        <v>19</v>
      </c>
      <c r="D27">
        <v>14</v>
      </c>
      <c r="E27" t="s">
        <v>11</v>
      </c>
      <c r="F27">
        <v>24</v>
      </c>
      <c r="G27" t="s">
        <v>24</v>
      </c>
      <c r="H27" t="s">
        <v>21</v>
      </c>
      <c r="I27">
        <v>30600</v>
      </c>
      <c r="K27" s="1">
        <f t="shared" si="0"/>
        <v>14</v>
      </c>
      <c r="L27" s="2">
        <v>4.8989794855663558</v>
      </c>
    </row>
    <row r="28" spans="1:12" x14ac:dyDescent="0.25">
      <c r="A28">
        <v>27</v>
      </c>
      <c r="B28" t="s">
        <v>51</v>
      </c>
      <c r="C28" t="s">
        <v>19</v>
      </c>
      <c r="D28">
        <v>8</v>
      </c>
      <c r="E28" t="s">
        <v>16</v>
      </c>
      <c r="F28">
        <v>27</v>
      </c>
      <c r="G28" t="s">
        <v>12</v>
      </c>
      <c r="H28" t="s">
        <v>13</v>
      </c>
      <c r="I28">
        <v>119660</v>
      </c>
      <c r="K28" s="1">
        <f t="shared" si="0"/>
        <v>8</v>
      </c>
      <c r="L28" s="2">
        <v>5.196152422706632</v>
      </c>
    </row>
    <row r="29" spans="1:12" x14ac:dyDescent="0.25">
      <c r="A29">
        <v>28</v>
      </c>
      <c r="B29" t="s">
        <v>52</v>
      </c>
      <c r="C29" t="s">
        <v>27</v>
      </c>
      <c r="D29">
        <v>16</v>
      </c>
      <c r="E29" t="s">
        <v>11</v>
      </c>
      <c r="F29">
        <v>29</v>
      </c>
      <c r="G29" t="s">
        <v>12</v>
      </c>
      <c r="H29" t="s">
        <v>21</v>
      </c>
      <c r="I29">
        <v>118179</v>
      </c>
      <c r="K29" s="1">
        <f t="shared" si="0"/>
        <v>16</v>
      </c>
      <c r="L29" s="2">
        <v>5.3851648071345037</v>
      </c>
    </row>
    <row r="30" spans="1:12" x14ac:dyDescent="0.25">
      <c r="A30">
        <v>29</v>
      </c>
      <c r="B30" t="s">
        <v>53</v>
      </c>
      <c r="C30" t="s">
        <v>10</v>
      </c>
      <c r="D30">
        <v>13</v>
      </c>
      <c r="E30" t="s">
        <v>20</v>
      </c>
      <c r="F30">
        <v>48</v>
      </c>
      <c r="G30" t="s">
        <v>24</v>
      </c>
      <c r="H30" t="s">
        <v>17</v>
      </c>
      <c r="I30">
        <v>65764</v>
      </c>
      <c r="K30" s="1">
        <f t="shared" si="0"/>
        <v>13</v>
      </c>
      <c r="L30" s="2">
        <v>6.9282032302755088</v>
      </c>
    </row>
    <row r="31" spans="1:12" x14ac:dyDescent="0.25">
      <c r="A31">
        <v>30</v>
      </c>
      <c r="B31" t="s">
        <v>54</v>
      </c>
      <c r="C31" t="s">
        <v>10</v>
      </c>
      <c r="D31">
        <v>18</v>
      </c>
      <c r="E31" t="s">
        <v>20</v>
      </c>
      <c r="F31">
        <v>30</v>
      </c>
      <c r="G31" t="s">
        <v>24</v>
      </c>
      <c r="H31" t="s">
        <v>13</v>
      </c>
      <c r="I31">
        <v>99543</v>
      </c>
      <c r="K31" s="1">
        <f t="shared" si="0"/>
        <v>18</v>
      </c>
      <c r="L31" s="2">
        <v>5.4772255750516612</v>
      </c>
    </row>
    <row r="32" spans="1:12" x14ac:dyDescent="0.25">
      <c r="A32">
        <v>31</v>
      </c>
      <c r="B32" t="s">
        <v>55</v>
      </c>
      <c r="C32" t="s">
        <v>19</v>
      </c>
      <c r="D32">
        <v>15</v>
      </c>
      <c r="E32" t="s">
        <v>16</v>
      </c>
      <c r="F32">
        <v>54</v>
      </c>
      <c r="G32" t="s">
        <v>12</v>
      </c>
      <c r="H32" t="s">
        <v>21</v>
      </c>
      <c r="I32">
        <v>70714</v>
      </c>
      <c r="K32" s="1">
        <f t="shared" si="0"/>
        <v>15</v>
      </c>
      <c r="L32" s="2">
        <v>7.3484692283495345</v>
      </c>
    </row>
    <row r="33" spans="1:12" x14ac:dyDescent="0.25">
      <c r="A33">
        <v>32</v>
      </c>
      <c r="B33" t="s">
        <v>56</v>
      </c>
      <c r="C33" t="s">
        <v>10</v>
      </c>
      <c r="D33">
        <v>13</v>
      </c>
      <c r="E33" t="s">
        <v>11</v>
      </c>
      <c r="F33">
        <v>45</v>
      </c>
      <c r="G33" t="s">
        <v>12</v>
      </c>
      <c r="H33" t="s">
        <v>21</v>
      </c>
      <c r="I33">
        <v>81835</v>
      </c>
      <c r="K33" s="1">
        <f t="shared" si="0"/>
        <v>13</v>
      </c>
      <c r="L33" s="2">
        <v>6.7082039324993694</v>
      </c>
    </row>
    <row r="34" spans="1:12" x14ac:dyDescent="0.25">
      <c r="A34">
        <v>33</v>
      </c>
      <c r="B34" t="s">
        <v>57</v>
      </c>
      <c r="C34" t="s">
        <v>10</v>
      </c>
      <c r="D34">
        <v>9</v>
      </c>
      <c r="E34" t="s">
        <v>11</v>
      </c>
      <c r="F34">
        <v>36</v>
      </c>
      <c r="G34" t="s">
        <v>24</v>
      </c>
      <c r="H34" t="s">
        <v>17</v>
      </c>
      <c r="I34">
        <v>127946</v>
      </c>
      <c r="K34" s="1">
        <f t="shared" si="0"/>
        <v>9</v>
      </c>
      <c r="L34" s="2">
        <v>6</v>
      </c>
    </row>
    <row r="35" spans="1:12" x14ac:dyDescent="0.25">
      <c r="A35">
        <v>34</v>
      </c>
      <c r="B35" t="s">
        <v>58</v>
      </c>
      <c r="C35" t="s">
        <v>43</v>
      </c>
      <c r="D35">
        <v>15</v>
      </c>
      <c r="E35" t="s">
        <v>16</v>
      </c>
      <c r="F35">
        <v>53</v>
      </c>
      <c r="G35" t="s">
        <v>12</v>
      </c>
      <c r="H35" t="s">
        <v>13</v>
      </c>
      <c r="I35">
        <v>134616</v>
      </c>
      <c r="K35" s="1">
        <f t="shared" si="0"/>
        <v>15</v>
      </c>
      <c r="L35" s="2">
        <v>7.2801098892805181</v>
      </c>
    </row>
    <row r="36" spans="1:12" x14ac:dyDescent="0.25">
      <c r="A36">
        <v>35</v>
      </c>
      <c r="B36" t="s">
        <v>59</v>
      </c>
      <c r="C36" t="s">
        <v>19</v>
      </c>
      <c r="D36">
        <v>13</v>
      </c>
      <c r="E36" t="s">
        <v>11</v>
      </c>
      <c r="F36">
        <v>53</v>
      </c>
      <c r="G36" t="s">
        <v>24</v>
      </c>
      <c r="H36" t="s">
        <v>17</v>
      </c>
      <c r="I36">
        <v>130983</v>
      </c>
      <c r="K36" s="1">
        <f t="shared" si="0"/>
        <v>13</v>
      </c>
      <c r="L36" s="2">
        <v>7.2801098892805181</v>
      </c>
    </row>
    <row r="37" spans="1:12" x14ac:dyDescent="0.25">
      <c r="A37">
        <v>36</v>
      </c>
      <c r="B37" t="s">
        <v>60</v>
      </c>
      <c r="C37" t="s">
        <v>15</v>
      </c>
      <c r="D37">
        <v>1</v>
      </c>
      <c r="E37" t="s">
        <v>11</v>
      </c>
      <c r="F37">
        <v>45</v>
      </c>
      <c r="G37" t="s">
        <v>12</v>
      </c>
      <c r="H37" t="s">
        <v>13</v>
      </c>
      <c r="I37">
        <v>98744</v>
      </c>
      <c r="K37" s="1">
        <f t="shared" si="0"/>
        <v>1</v>
      </c>
      <c r="L37" s="2">
        <v>6.7082039324993694</v>
      </c>
    </row>
    <row r="38" spans="1:12" x14ac:dyDescent="0.25">
      <c r="A38">
        <v>37</v>
      </c>
      <c r="B38" t="s">
        <v>61</v>
      </c>
      <c r="C38" t="s">
        <v>19</v>
      </c>
      <c r="D38">
        <v>7</v>
      </c>
      <c r="E38" t="s">
        <v>20</v>
      </c>
      <c r="F38">
        <v>33</v>
      </c>
      <c r="G38" t="s">
        <v>24</v>
      </c>
      <c r="H38" t="s">
        <v>41</v>
      </c>
      <c r="I38">
        <v>81491</v>
      </c>
      <c r="K38" s="1">
        <f t="shared" si="0"/>
        <v>7</v>
      </c>
      <c r="L38" s="2">
        <v>5.7445626465380286</v>
      </c>
    </row>
    <row r="39" spans="1:12" x14ac:dyDescent="0.25">
      <c r="A39">
        <v>38</v>
      </c>
      <c r="B39" t="s">
        <v>62</v>
      </c>
      <c r="C39" t="s">
        <v>15</v>
      </c>
      <c r="D39">
        <v>9</v>
      </c>
      <c r="E39" t="s">
        <v>11</v>
      </c>
      <c r="F39">
        <v>23</v>
      </c>
      <c r="G39" t="s">
        <v>24</v>
      </c>
      <c r="H39" t="s">
        <v>28</v>
      </c>
      <c r="I39">
        <v>149123</v>
      </c>
      <c r="K39" s="1">
        <f t="shared" si="0"/>
        <v>9</v>
      </c>
      <c r="L39" s="2">
        <v>4.7958315233127191</v>
      </c>
    </row>
    <row r="40" spans="1:12" x14ac:dyDescent="0.25">
      <c r="A40">
        <v>39</v>
      </c>
      <c r="B40" t="s">
        <v>63</v>
      </c>
      <c r="C40" t="s">
        <v>43</v>
      </c>
      <c r="D40">
        <v>1</v>
      </c>
      <c r="E40" t="s">
        <v>11</v>
      </c>
      <c r="F40">
        <v>24</v>
      </c>
      <c r="G40" t="s">
        <v>24</v>
      </c>
      <c r="H40" t="s">
        <v>28</v>
      </c>
      <c r="I40">
        <v>43589</v>
      </c>
      <c r="K40" s="1">
        <f t="shared" si="0"/>
        <v>1</v>
      </c>
      <c r="L40" s="2">
        <v>4.8989794855663558</v>
      </c>
    </row>
    <row r="41" spans="1:12" x14ac:dyDescent="0.25">
      <c r="A41">
        <v>40</v>
      </c>
      <c r="B41" t="s">
        <v>64</v>
      </c>
      <c r="C41" t="s">
        <v>27</v>
      </c>
      <c r="D41">
        <v>12</v>
      </c>
      <c r="E41" t="s">
        <v>16</v>
      </c>
      <c r="F41">
        <v>38</v>
      </c>
      <c r="G41" t="s">
        <v>12</v>
      </c>
      <c r="H41" t="s">
        <v>28</v>
      </c>
      <c r="I41">
        <v>68484</v>
      </c>
      <c r="K41" s="1">
        <f t="shared" si="0"/>
        <v>12</v>
      </c>
      <c r="L41" s="2">
        <v>6.164414002968976</v>
      </c>
    </row>
    <row r="42" spans="1:12" x14ac:dyDescent="0.25">
      <c r="A42">
        <v>41</v>
      </c>
      <c r="B42" t="s">
        <v>65</v>
      </c>
      <c r="C42" t="s">
        <v>10</v>
      </c>
      <c r="D42">
        <v>8</v>
      </c>
      <c r="E42" t="s">
        <v>16</v>
      </c>
      <c r="F42">
        <v>23</v>
      </c>
      <c r="G42" t="s">
        <v>12</v>
      </c>
      <c r="H42" t="s">
        <v>17</v>
      </c>
      <c r="I42">
        <v>107989</v>
      </c>
      <c r="K42" s="1">
        <f t="shared" si="0"/>
        <v>8</v>
      </c>
      <c r="L42" s="2">
        <v>4.7958315233127191</v>
      </c>
    </row>
    <row r="43" spans="1:12" x14ac:dyDescent="0.25">
      <c r="A43">
        <v>42</v>
      </c>
      <c r="B43" t="s">
        <v>66</v>
      </c>
      <c r="C43" t="s">
        <v>43</v>
      </c>
      <c r="D43">
        <v>11</v>
      </c>
      <c r="E43" t="s">
        <v>23</v>
      </c>
      <c r="F43">
        <v>23</v>
      </c>
      <c r="G43" t="s">
        <v>24</v>
      </c>
      <c r="H43" t="s">
        <v>41</v>
      </c>
      <c r="I43">
        <v>107989</v>
      </c>
      <c r="K43" s="1">
        <f t="shared" si="0"/>
        <v>11</v>
      </c>
      <c r="L43" s="2">
        <v>4.7958315233127191</v>
      </c>
    </row>
    <row r="44" spans="1:12" x14ac:dyDescent="0.25">
      <c r="A44">
        <v>43</v>
      </c>
      <c r="B44" t="s">
        <v>67</v>
      </c>
      <c r="C44" t="s">
        <v>10</v>
      </c>
      <c r="D44">
        <v>19</v>
      </c>
      <c r="E44" t="s">
        <v>20</v>
      </c>
      <c r="F44">
        <v>49</v>
      </c>
      <c r="G44" t="s">
        <v>12</v>
      </c>
      <c r="H44" t="s">
        <v>13</v>
      </c>
      <c r="I44">
        <v>68525</v>
      </c>
      <c r="K44" s="1">
        <f t="shared" si="0"/>
        <v>19</v>
      </c>
      <c r="L44" s="2">
        <v>7</v>
      </c>
    </row>
    <row r="45" spans="1:12" x14ac:dyDescent="0.25">
      <c r="A45">
        <v>44</v>
      </c>
      <c r="B45" t="s">
        <v>68</v>
      </c>
      <c r="C45" t="s">
        <v>27</v>
      </c>
      <c r="D45">
        <v>17</v>
      </c>
      <c r="E45" t="s">
        <v>11</v>
      </c>
      <c r="F45">
        <v>44</v>
      </c>
      <c r="G45" t="s">
        <v>24</v>
      </c>
      <c r="H45" t="s">
        <v>21</v>
      </c>
      <c r="I45">
        <v>72202</v>
      </c>
      <c r="K45" s="1">
        <f t="shared" si="0"/>
        <v>17</v>
      </c>
      <c r="L45" s="2">
        <v>6.6332495807107996</v>
      </c>
    </row>
    <row r="46" spans="1:12" x14ac:dyDescent="0.25">
      <c r="A46">
        <v>45</v>
      </c>
      <c r="B46" t="s">
        <v>69</v>
      </c>
      <c r="C46" t="s">
        <v>27</v>
      </c>
      <c r="D46">
        <v>8</v>
      </c>
      <c r="E46" t="s">
        <v>11</v>
      </c>
      <c r="F46">
        <v>53</v>
      </c>
      <c r="G46" t="s">
        <v>24</v>
      </c>
      <c r="H46" t="s">
        <v>13</v>
      </c>
      <c r="I46">
        <v>57635</v>
      </c>
      <c r="K46" s="1">
        <f t="shared" si="0"/>
        <v>8</v>
      </c>
      <c r="L46" s="2">
        <v>7.2801098892805181</v>
      </c>
    </row>
    <row r="47" spans="1:12" x14ac:dyDescent="0.25">
      <c r="A47">
        <v>46</v>
      </c>
      <c r="B47" t="s">
        <v>70</v>
      </c>
      <c r="C47" t="s">
        <v>43</v>
      </c>
      <c r="D47">
        <v>3</v>
      </c>
      <c r="E47" t="s">
        <v>23</v>
      </c>
      <c r="F47">
        <v>54</v>
      </c>
      <c r="G47" t="s">
        <v>12</v>
      </c>
      <c r="H47" t="s">
        <v>21</v>
      </c>
      <c r="I47">
        <v>88208</v>
      </c>
      <c r="K47" s="1">
        <f t="shared" si="0"/>
        <v>3</v>
      </c>
      <c r="L47" s="2">
        <v>7.3484692283495345</v>
      </c>
    </row>
    <row r="48" spans="1:12" x14ac:dyDescent="0.25">
      <c r="A48">
        <v>47</v>
      </c>
      <c r="B48" t="s">
        <v>71</v>
      </c>
      <c r="C48" t="s">
        <v>27</v>
      </c>
      <c r="D48">
        <v>3</v>
      </c>
      <c r="E48" t="s">
        <v>11</v>
      </c>
      <c r="F48">
        <v>22</v>
      </c>
      <c r="G48" t="s">
        <v>12</v>
      </c>
      <c r="H48" t="s">
        <v>13</v>
      </c>
      <c r="I48">
        <v>58828</v>
      </c>
      <c r="K48" s="1">
        <f t="shared" si="0"/>
        <v>3</v>
      </c>
      <c r="L48" s="2">
        <v>4.6904157598234297</v>
      </c>
    </row>
    <row r="49" spans="1:12" x14ac:dyDescent="0.25">
      <c r="A49">
        <v>48</v>
      </c>
      <c r="B49" t="s">
        <v>72</v>
      </c>
      <c r="C49" t="s">
        <v>15</v>
      </c>
      <c r="D49">
        <v>1</v>
      </c>
      <c r="E49" t="s">
        <v>20</v>
      </c>
      <c r="F49">
        <v>40</v>
      </c>
      <c r="G49" t="s">
        <v>24</v>
      </c>
      <c r="H49" t="s">
        <v>41</v>
      </c>
      <c r="I49">
        <v>43711</v>
      </c>
      <c r="K49" s="1">
        <f t="shared" si="0"/>
        <v>1</v>
      </c>
      <c r="L49" s="2">
        <v>6.324555320336759</v>
      </c>
    </row>
    <row r="50" spans="1:12" x14ac:dyDescent="0.25">
      <c r="A50">
        <v>49</v>
      </c>
      <c r="B50" t="s">
        <v>73</v>
      </c>
      <c r="C50" t="s">
        <v>27</v>
      </c>
      <c r="D50">
        <v>5</v>
      </c>
      <c r="E50" t="s">
        <v>23</v>
      </c>
      <c r="F50">
        <v>23</v>
      </c>
      <c r="G50" t="s">
        <v>12</v>
      </c>
      <c r="H50" t="s">
        <v>21</v>
      </c>
      <c r="I50">
        <v>28420</v>
      </c>
      <c r="K50" s="1">
        <f t="shared" si="0"/>
        <v>5</v>
      </c>
      <c r="L50" s="2">
        <v>4.7958315233127191</v>
      </c>
    </row>
    <row r="51" spans="1:12" x14ac:dyDescent="0.25">
      <c r="A51">
        <v>50</v>
      </c>
      <c r="B51" t="s">
        <v>74</v>
      </c>
      <c r="C51" t="s">
        <v>10</v>
      </c>
      <c r="D51">
        <v>10</v>
      </c>
      <c r="E51" t="s">
        <v>20</v>
      </c>
      <c r="F51">
        <v>47</v>
      </c>
      <c r="G51" t="s">
        <v>12</v>
      </c>
      <c r="H51" t="s">
        <v>17</v>
      </c>
      <c r="I51">
        <v>121752</v>
      </c>
      <c r="K51" s="1">
        <f>ROUND(D51,0)</f>
        <v>10</v>
      </c>
      <c r="L51" s="2">
        <v>6.8556546004010439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2026-06-01T11:27:01Z</dcterms:modified>
</cp:coreProperties>
</file>